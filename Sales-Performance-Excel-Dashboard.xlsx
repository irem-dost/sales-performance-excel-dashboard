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https://d.docs.live.net/226f53bd090569ee/Masaüstü/"/>
    </mc:Choice>
  </mc:AlternateContent>
  <xr:revisionPtr revIDLastSave="3" documentId="8_{53B99CFC-F91A-450C-9C34-5D9E7DAC9928}" xr6:coauthVersionLast="47" xr6:coauthVersionMax="47" xr10:uidLastSave="{53FBDF94-CFF9-462C-9484-B4D3C89DE5D0}"/>
  <bookViews>
    <workbookView xWindow="-108" yWindow="-108" windowWidth="23256" windowHeight="12456" tabRatio="839" xr2:uid="{3FAF591C-4CA4-4B85-9559-195176420AED}"/>
  </bookViews>
  <sheets>
    <sheet name="Dashboard" sheetId="4" r:id="rId1"/>
    <sheet name="Raw_Data" sheetId="1" r:id="rId2"/>
    <sheet name="Category Pivot" sheetId="2" state="hidden" r:id="rId3"/>
    <sheet name="Monthly Profit Pivot" sheetId="5" state="hidden" r:id="rId4"/>
    <sheet name="Region Pivot" sheetId="6" state="hidden" r:id="rId5"/>
    <sheet name="Top 3 Profit Pivot" sheetId="7" state="hidden" r:id="rId6"/>
  </sheets>
  <definedNames>
    <definedName name="Dilimleyici_Category">#N/A</definedName>
    <definedName name="Dilimleyici_Region">#N/A</definedName>
    <definedName name="Dilimleyici_Sales_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 l="1"/>
  <c r="L9" i="4"/>
  <c r="O9" i="4" s="1"/>
  <c r="K9" i="4"/>
  <c r="N9" i="4" s="1"/>
  <c r="B19" i="5"/>
  <c r="B20" i="5"/>
  <c r="B21" i="5"/>
  <c r="B22" i="5"/>
  <c r="B23" i="5"/>
  <c r="B24" i="5"/>
  <c r="B25" i="5"/>
  <c r="B26" i="5"/>
  <c r="B27" i="5"/>
  <c r="B28" i="5"/>
  <c r="B29" i="5"/>
  <c r="B18" i="5"/>
  <c r="R2" i="4"/>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L731" i="1" s="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K2" i="1"/>
  <c r="L2" i="1" s="1"/>
</calcChain>
</file>

<file path=xl/sharedStrings.xml><?xml version="1.0" encoding="utf-8"?>
<sst xmlns="http://schemas.openxmlformats.org/spreadsheetml/2006/main" count="5072" uniqueCount="84">
  <si>
    <t>Order_ID</t>
  </si>
  <si>
    <t>Order_Date</t>
  </si>
  <si>
    <t>Customer_Name</t>
  </si>
  <si>
    <t>Region</t>
  </si>
  <si>
    <t>Product</t>
  </si>
  <si>
    <t>Category</t>
  </si>
  <si>
    <t>Quantity</t>
  </si>
  <si>
    <t>Unit_Cost</t>
  </si>
  <si>
    <t>Sales</t>
  </si>
  <si>
    <t>Profit</t>
  </si>
  <si>
    <t>Ahmet Yılmaz</t>
  </si>
  <si>
    <t>Laptop</t>
  </si>
  <si>
    <t>Technology</t>
  </si>
  <si>
    <t>Ayşe Demir</t>
  </si>
  <si>
    <t>Phone</t>
  </si>
  <si>
    <t>Mehmet Kaya</t>
  </si>
  <si>
    <t>Chair</t>
  </si>
  <si>
    <t>Furniture</t>
  </si>
  <si>
    <t>Unit_Price</t>
  </si>
  <si>
    <t>Elif Kaya</t>
  </si>
  <si>
    <t>Akdeniz</t>
  </si>
  <si>
    <t>Table</t>
  </si>
  <si>
    <t>Merve Şahin</t>
  </si>
  <si>
    <t>Ege</t>
  </si>
  <si>
    <t>Microwave</t>
  </si>
  <si>
    <t>Home Appliances</t>
  </si>
  <si>
    <t>Marmara</t>
  </si>
  <si>
    <t>T-Shirt</t>
  </si>
  <si>
    <t>Clothing</t>
  </si>
  <si>
    <t>Vacuum Cleaner</t>
  </si>
  <si>
    <t>İç Anadolu</t>
  </si>
  <si>
    <t>Bookshelf</t>
  </si>
  <si>
    <t>Can Arslan</t>
  </si>
  <si>
    <t>Fitness Mat</t>
  </si>
  <si>
    <t>Sports</t>
  </si>
  <si>
    <t>Zeynep Çelik</t>
  </si>
  <si>
    <t>Basketball</t>
  </si>
  <si>
    <t>Jeans</t>
  </si>
  <si>
    <t>Karadeniz</t>
  </si>
  <si>
    <t>Shoes</t>
  </si>
  <si>
    <t>Blender</t>
  </si>
  <si>
    <t>Emre Aydın</t>
  </si>
  <si>
    <t>Tablet</t>
  </si>
  <si>
    <t>Seda Yıldız</t>
  </si>
  <si>
    <t>Burak Demir</t>
  </si>
  <si>
    <t>Dumbbell</t>
  </si>
  <si>
    <t>Desk</t>
  </si>
  <si>
    <t>Air Fryer</t>
  </si>
  <si>
    <t>Running Shoes</t>
  </si>
  <si>
    <t>Headphones</t>
  </si>
  <si>
    <t>Jacket</t>
  </si>
  <si>
    <t>Satır Etiketleri</t>
  </si>
  <si>
    <t>Genel Toplam</t>
  </si>
  <si>
    <t>Toplam Sales</t>
  </si>
  <si>
    <t>SALES PERFORMANCE DASHBOARD</t>
  </si>
  <si>
    <t>TOTAL SALES</t>
  </si>
  <si>
    <t>TOTAL PROFİT</t>
  </si>
  <si>
    <t>TOTAL ORDERS</t>
  </si>
  <si>
    <t>AVARAGE ORDER VALUE</t>
  </si>
  <si>
    <t>PROFİT MARGİN</t>
  </si>
  <si>
    <t>Oca</t>
  </si>
  <si>
    <t>Şub</t>
  </si>
  <si>
    <t>Mar</t>
  </si>
  <si>
    <t>Nis</t>
  </si>
  <si>
    <t>May</t>
  </si>
  <si>
    <t>Haz</t>
  </si>
  <si>
    <t>Tem</t>
  </si>
  <si>
    <t>Ağu</t>
  </si>
  <si>
    <t>Eyl</t>
  </si>
  <si>
    <t>Eki</t>
  </si>
  <si>
    <t>Kas</t>
  </si>
  <si>
    <t>Ara</t>
  </si>
  <si>
    <t>Sales Person</t>
  </si>
  <si>
    <t>Ali Kaya</t>
  </si>
  <si>
    <t>Ece Demir</t>
  </si>
  <si>
    <t>Burak Yıldız</t>
  </si>
  <si>
    <t>Merve Aksoy</t>
  </si>
  <si>
    <t>Can Yılmaz</t>
  </si>
  <si>
    <t>Toplam Profit</t>
  </si>
  <si>
    <t>Interactive Excel Dashboard</t>
  </si>
  <si>
    <t>Data Source: Sample E-commerce Dataset</t>
  </si>
  <si>
    <t>Prepared by: İrem Dost</t>
  </si>
  <si>
    <t>Months</t>
  </si>
  <si>
    <t>Profit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</si>
</sst>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0,,\ &quot;M&quot;"/>
    <numFmt numFmtId="166" formatCode="&quot;₺&quot;#,##0.0,\ &quot;K&quot;"/>
  </numFmts>
  <fonts count="9" x14ac:knownFonts="1">
    <font>
      <sz val="11"/>
      <color theme="1"/>
      <name val="Aptos Narrow"/>
      <family val="2"/>
      <charset val="162"/>
      <scheme val="minor"/>
    </font>
    <font>
      <sz val="16"/>
      <color theme="1"/>
      <name val="Aptos Narrow"/>
      <family val="2"/>
      <charset val="162"/>
      <scheme val="minor"/>
    </font>
    <font>
      <b/>
      <sz val="24"/>
      <color theme="1"/>
      <name val="Aptos Narrow"/>
      <family val="2"/>
      <scheme val="minor"/>
    </font>
    <font>
      <sz val="14"/>
      <color theme="1"/>
      <name val="Aptos Narrow"/>
      <family val="2"/>
      <charset val="162"/>
      <scheme val="minor"/>
    </font>
    <font>
      <sz val="22"/>
      <color theme="1"/>
      <name val="Aptos Narrow"/>
      <family val="2"/>
      <scheme val="minor"/>
    </font>
    <font>
      <b/>
      <sz val="12"/>
      <color theme="1"/>
      <name val="Aptos Narrow"/>
      <family val="2"/>
      <scheme val="minor"/>
    </font>
    <font>
      <b/>
      <sz val="28"/>
      <color theme="0"/>
      <name val="Aptos Narrow"/>
      <family val="2"/>
      <scheme val="minor"/>
    </font>
    <font>
      <b/>
      <sz val="18"/>
      <color theme="0"/>
      <name val="Aptos Narrow"/>
      <family val="2"/>
      <scheme val="minor"/>
    </font>
    <font>
      <sz val="8"/>
      <name val="Aptos Narrow"/>
      <family val="2"/>
      <charset val="162"/>
      <scheme val="minor"/>
    </font>
  </fonts>
  <fills count="5">
    <fill>
      <patternFill patternType="none"/>
    </fill>
    <fill>
      <patternFill patternType="gray125"/>
    </fill>
    <fill>
      <patternFill patternType="solid">
        <fgColor theme="0" tint="-0.14999847407452621"/>
        <bgColor indexed="64"/>
      </patternFill>
    </fill>
    <fill>
      <patternFill patternType="solid">
        <fgColor theme="3" tint="9.9978637043366805E-2"/>
        <bgColor indexed="64"/>
      </patternFill>
    </fill>
    <fill>
      <patternFill patternType="solid">
        <fgColor theme="9"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34">
    <xf numFmtId="0" fontId="0" fillId="0" borderId="0" xfId="0"/>
    <xf numFmtId="14" fontId="0" fillId="0" borderId="0" xfId="0" applyNumberFormat="1"/>
    <xf numFmtId="0" fontId="0" fillId="0" borderId="0" xfId="0" applyAlignment="1">
      <alignment horizontal="center" vertical="center"/>
    </xf>
    <xf numFmtId="164" fontId="0" fillId="0" borderId="0" xfId="0" applyNumberFormat="1"/>
    <xf numFmtId="164" fontId="0" fillId="0" borderId="0" xfId="0" applyNumberFormat="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center" vertical="center"/>
    </xf>
    <xf numFmtId="0" fontId="0" fillId="0" borderId="0" xfId="0" applyAlignment="1">
      <alignment horizontal="left" vertical="center" indent="1"/>
    </xf>
    <xf numFmtId="0" fontId="2" fillId="0" borderId="0" xfId="0" applyFont="1" applyAlignment="1">
      <alignment vertical="center"/>
    </xf>
    <xf numFmtId="0" fontId="4" fillId="0" borderId="0" xfId="0" applyFont="1"/>
    <xf numFmtId="0" fontId="5" fillId="0" borderId="0" xfId="0" applyFont="1" applyAlignment="1">
      <alignment horizontal="center"/>
    </xf>
    <xf numFmtId="0" fontId="1" fillId="2" borderId="1" xfId="0" applyFont="1" applyFill="1" applyBorder="1" applyAlignment="1">
      <alignment horizontal="center" vertical="center"/>
    </xf>
    <xf numFmtId="166" fontId="1" fillId="2" borderId="1" xfId="0" applyNumberFormat="1" applyFont="1" applyFill="1" applyBorder="1" applyAlignment="1">
      <alignment horizontal="center" vertical="center"/>
    </xf>
    <xf numFmtId="0" fontId="1" fillId="2" borderId="1" xfId="0" applyFont="1" applyFill="1" applyBorder="1" applyAlignment="1">
      <alignment horizontal="left" vertical="center"/>
    </xf>
    <xf numFmtId="0" fontId="1" fillId="4" borderId="1" xfId="0" applyFont="1" applyFill="1" applyBorder="1" applyAlignment="1">
      <alignment horizontal="center" vertical="center"/>
    </xf>
    <xf numFmtId="10" fontId="1" fillId="4"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1" fontId="1" fillId="2" borderId="1"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5" xfId="0" applyFont="1" applyFill="1" applyBorder="1" applyAlignment="1">
      <alignment horizontal="center"/>
    </xf>
    <xf numFmtId="0" fontId="7" fillId="3" borderId="7" xfId="0" applyFont="1" applyFill="1" applyBorder="1" applyAlignment="1">
      <alignment horizontal="center"/>
    </xf>
    <xf numFmtId="0" fontId="7" fillId="3" borderId="6" xfId="0" applyFont="1" applyFill="1" applyBorder="1" applyAlignment="1">
      <alignment horizontal="center"/>
    </xf>
    <xf numFmtId="0" fontId="3" fillId="0" borderId="14" xfId="0" applyFont="1" applyBorder="1" applyAlignment="1">
      <alignment horizontal="center"/>
    </xf>
    <xf numFmtId="0" fontId="3" fillId="0" borderId="0" xfId="0" applyFont="1" applyAlignment="1">
      <alignment horizontal="center"/>
    </xf>
    <xf numFmtId="0" fontId="3" fillId="0" borderId="15"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14" fontId="3" fillId="0" borderId="8" xfId="0" applyNumberFormat="1"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cellXfs>
  <cellStyles count="1">
    <cellStyle name="Normal" xfId="0" builtinId="0"/>
  </cellStyles>
  <dxfs count="15">
    <dxf>
      <numFmt numFmtId="164" formatCode="&quot;₺&quot;#,##0"/>
    </dxf>
    <dxf>
      <alignment horizontal="left" vertical="bottom" textRotation="0" wrapText="0" indent="0" justifyLastLine="0" shrinkToFit="0" readingOrder="0"/>
    </dxf>
    <dxf>
      <numFmt numFmtId="164" formatCode="&quot;₺&quot;#,##0"/>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Invisible" pivot="0" table="0" count="0" xr9:uid="{ECBA401B-AA68-4F05-84A4-BA42A8A628B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[Sales-Performance-Excel-Dashboard.xlsx]Category Pivot!PivotTable1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2000" b="0" i="0" u="none" strike="noStrike" baseline="0"/>
              <a:t>Category Pivot</a:t>
            </a:r>
            <a:endParaRPr lang="tr-TR" sz="2000"/>
          </a:p>
        </c:rich>
      </c:tx>
      <c:layout>
        <c:manualLayout>
          <c:xMode val="edge"/>
          <c:yMode val="edge"/>
          <c:x val="0.35650256419095128"/>
          <c:y val="4.2950140590271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solidFill>
              <a:schemeClr val="tx2">
                <a:lumMod val="75000"/>
                <a:lumOff val="25000"/>
              </a:schemeClr>
            </a:solidFill>
          </a:ln>
          <a:effectLst/>
          <a:sp3d>
            <a:contourClr>
              <a:schemeClr val="tx2">
                <a:lumMod val="75000"/>
                <a:lumOff val="2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619743839437376E-2"/>
          <c:y val="0.1704279881617706"/>
          <c:w val="0.95171597866245117"/>
          <c:h val="0.64786609848059318"/>
        </c:manualLayout>
      </c:layout>
      <c:bar3DChart>
        <c:barDir val="col"/>
        <c:grouping val="clustered"/>
        <c:varyColors val="0"/>
        <c:ser>
          <c:idx val="0"/>
          <c:order val="0"/>
          <c:tx>
            <c:strRef>
              <c:f>'Category Pivot'!$B$5</c:f>
              <c:strCache>
                <c:ptCount val="1"/>
                <c:pt idx="0">
                  <c:v>Total</c:v>
                </c:pt>
              </c:strCache>
            </c:strRef>
          </c:tx>
          <c:spPr>
            <a:solidFill>
              <a:schemeClr val="tx2">
                <a:lumMod val="75000"/>
                <a:lumOff val="25000"/>
              </a:schemeClr>
            </a:solidFill>
            <a:ln>
              <a:solidFill>
                <a:schemeClr val="tx2">
                  <a:lumMod val="75000"/>
                  <a:lumOff val="25000"/>
                </a:schemeClr>
              </a:solidFill>
            </a:ln>
            <a:effectLst/>
            <a:sp3d>
              <a:contourClr>
                <a:schemeClr val="tx2">
                  <a:lumMod val="75000"/>
                  <a:lumOff val="2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Pivot'!$A$6:$A$11</c:f>
              <c:strCache>
                <c:ptCount val="5"/>
                <c:pt idx="0">
                  <c:v>Clothing</c:v>
                </c:pt>
                <c:pt idx="1">
                  <c:v>Furniture</c:v>
                </c:pt>
                <c:pt idx="2">
                  <c:v>Home Appliances</c:v>
                </c:pt>
                <c:pt idx="3">
                  <c:v>Sports</c:v>
                </c:pt>
                <c:pt idx="4">
                  <c:v>Technology</c:v>
                </c:pt>
              </c:strCache>
            </c:strRef>
          </c:cat>
          <c:val>
            <c:numRef>
              <c:f>'Category Pivot'!$B$6:$B$11</c:f>
              <c:numCache>
                <c:formatCode>"₺"#,##0</c:formatCode>
                <c:ptCount val="5"/>
                <c:pt idx="0">
                  <c:v>2420532</c:v>
                </c:pt>
                <c:pt idx="1">
                  <c:v>6317756</c:v>
                </c:pt>
                <c:pt idx="2">
                  <c:v>5040058</c:v>
                </c:pt>
                <c:pt idx="3">
                  <c:v>3986740</c:v>
                </c:pt>
                <c:pt idx="4">
                  <c:v>18166797</c:v>
                </c:pt>
              </c:numCache>
            </c:numRef>
          </c:val>
          <c:extLst>
            <c:ext xmlns:c16="http://schemas.microsoft.com/office/drawing/2014/chart" uri="{C3380CC4-5D6E-409C-BE32-E72D297353CC}">
              <c16:uniqueId val="{00000004-11A5-4183-90C4-CD87938A6116}"/>
            </c:ext>
          </c:extLst>
        </c:ser>
        <c:dLbls>
          <c:showLegendKey val="0"/>
          <c:showVal val="1"/>
          <c:showCatName val="0"/>
          <c:showSerName val="0"/>
          <c:showPercent val="0"/>
          <c:showBubbleSize val="0"/>
        </c:dLbls>
        <c:gapWidth val="150"/>
        <c:shape val="box"/>
        <c:axId val="1531098640"/>
        <c:axId val="1531100080"/>
        <c:axId val="0"/>
      </c:bar3DChart>
      <c:catAx>
        <c:axId val="153109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tr-TR"/>
          </a:p>
        </c:txPr>
        <c:crossAx val="1531100080"/>
        <c:crosses val="autoZero"/>
        <c:auto val="1"/>
        <c:lblAlgn val="ctr"/>
        <c:lblOffset val="100"/>
        <c:noMultiLvlLbl val="0"/>
      </c:catAx>
      <c:valAx>
        <c:axId val="1531100080"/>
        <c:scaling>
          <c:orientation val="minMax"/>
        </c:scaling>
        <c:delete val="1"/>
        <c:axPos val="l"/>
        <c:numFmt formatCode="&quot;₺&quot;#,##0" sourceLinked="1"/>
        <c:majorTickMark val="none"/>
        <c:minorTickMark val="none"/>
        <c:tickLblPos val="nextTo"/>
        <c:crossAx val="153109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[Sales-Performance-Excel-Dashboard.xlsx]Region 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2000" b="0" i="0" u="none" strike="noStrike" baseline="0"/>
              <a:t>Region Pivot</a:t>
            </a:r>
            <a:endParaRPr lang="en-US" sz="2000"/>
          </a:p>
        </c:rich>
      </c:tx>
      <c:layout>
        <c:manualLayout>
          <c:xMode val="edge"/>
          <c:yMode val="edge"/>
          <c:x val="0.40300780325031094"/>
          <c:y val="5.6936003510243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alpha val="91000"/>
            </a:schemeClr>
          </a:solidFill>
          <a:ln>
            <a:solidFill>
              <a:schemeClr val="accent4">
                <a:lumMod val="50000"/>
              </a:schemeClr>
            </a:solidFill>
          </a:ln>
          <a:effectLst/>
          <a:sp3d>
            <a:contourClr>
              <a:schemeClr val="accent4">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alpha val="91000"/>
            </a:schemeClr>
          </a:solidFill>
          <a:ln>
            <a:solidFill>
              <a:schemeClr val="accent4">
                <a:lumMod val="50000"/>
              </a:schemeClr>
            </a:solidFill>
          </a:ln>
          <a:effectLst/>
          <a:sp3d>
            <a:contourClr>
              <a:schemeClr val="accent4">
                <a:lumMod val="50000"/>
              </a:schemeClr>
            </a:contourClr>
          </a:sp3d>
        </c:spPr>
      </c:pivotFmt>
      <c:pivotFmt>
        <c:idx val="4"/>
        <c:spPr>
          <a:solidFill>
            <a:schemeClr val="accent4">
              <a:lumMod val="50000"/>
              <a:alpha val="91000"/>
            </a:schemeClr>
          </a:solidFill>
          <a:ln>
            <a:solidFill>
              <a:schemeClr val="accent4">
                <a:lumMod val="50000"/>
              </a:schemeClr>
            </a:solidFill>
          </a:ln>
          <a:effectLst/>
          <a:sp3d>
            <a:contourClr>
              <a:schemeClr val="accent4">
                <a:lumMod val="50000"/>
              </a:schemeClr>
            </a:contourClr>
          </a:sp3d>
        </c:spPr>
      </c:pivotFmt>
      <c:pivotFmt>
        <c:idx val="5"/>
        <c:spPr>
          <a:solidFill>
            <a:schemeClr val="accent4">
              <a:lumMod val="50000"/>
              <a:alpha val="91000"/>
            </a:schemeClr>
          </a:solidFill>
          <a:ln>
            <a:solidFill>
              <a:schemeClr val="accent4">
                <a:lumMod val="50000"/>
              </a:schemeClr>
            </a:solidFill>
          </a:ln>
          <a:effectLst/>
          <a:sp3d>
            <a:contourClr>
              <a:schemeClr val="accent4">
                <a:lumMod val="50000"/>
              </a:schemeClr>
            </a:contourClr>
          </a:sp3d>
        </c:spPr>
      </c:pivotFmt>
      <c:pivotFmt>
        <c:idx val="6"/>
        <c:spPr>
          <a:solidFill>
            <a:schemeClr val="accent4">
              <a:lumMod val="50000"/>
              <a:alpha val="91000"/>
            </a:schemeClr>
          </a:solidFill>
          <a:ln>
            <a:solidFill>
              <a:schemeClr val="accent4">
                <a:lumMod val="50000"/>
              </a:schemeClr>
            </a:solidFill>
          </a:ln>
          <a:effectLst/>
          <a:sp3d>
            <a:contourClr>
              <a:schemeClr val="accent4">
                <a:lumMod val="50000"/>
              </a:schemeClr>
            </a:contourClr>
          </a:sp3d>
        </c:spPr>
      </c:pivotFmt>
      <c:pivotFmt>
        <c:idx val="7"/>
        <c:spPr>
          <a:solidFill>
            <a:schemeClr val="accent4">
              <a:lumMod val="50000"/>
              <a:alpha val="91000"/>
            </a:schemeClr>
          </a:solidFill>
          <a:ln>
            <a:solidFill>
              <a:schemeClr val="accent4">
                <a:lumMod val="50000"/>
              </a:schemeClr>
            </a:solidFill>
          </a:ln>
          <a:effectLst/>
          <a:sp3d>
            <a:contourClr>
              <a:schemeClr val="accent4">
                <a:lumMod val="5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'Region Pivot'!$B$6</c:f>
              <c:strCache>
                <c:ptCount val="1"/>
                <c:pt idx="0">
                  <c:v>Total</c:v>
                </c:pt>
              </c:strCache>
            </c:strRef>
          </c:tx>
          <c:spPr>
            <a:solidFill>
              <a:schemeClr val="accent4">
                <a:lumMod val="50000"/>
                <a:alpha val="91000"/>
              </a:schemeClr>
            </a:solidFill>
            <a:ln>
              <a:solidFill>
                <a:schemeClr val="accent4">
                  <a:lumMod val="50000"/>
                </a:schemeClr>
              </a:solidFill>
            </a:ln>
            <a:effectLst/>
            <a:sp3d>
              <a:contourClr>
                <a:schemeClr val="accent4">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Pivot'!$A$7:$A$12</c:f>
              <c:strCache>
                <c:ptCount val="5"/>
                <c:pt idx="0">
                  <c:v>Marmara</c:v>
                </c:pt>
                <c:pt idx="1">
                  <c:v>Akdeniz</c:v>
                </c:pt>
                <c:pt idx="2">
                  <c:v>Ege</c:v>
                </c:pt>
                <c:pt idx="3">
                  <c:v>İç Anadolu</c:v>
                </c:pt>
                <c:pt idx="4">
                  <c:v>Karadeniz</c:v>
                </c:pt>
              </c:strCache>
            </c:strRef>
          </c:cat>
          <c:val>
            <c:numRef>
              <c:f>'Region Pivot'!$B$7:$B$12</c:f>
              <c:numCache>
                <c:formatCode>"₺"#,##0</c:formatCode>
                <c:ptCount val="5"/>
                <c:pt idx="0">
                  <c:v>6471247</c:v>
                </c:pt>
                <c:pt idx="1">
                  <c:v>6959144</c:v>
                </c:pt>
                <c:pt idx="2">
                  <c:v>7030019</c:v>
                </c:pt>
                <c:pt idx="3">
                  <c:v>7626448</c:v>
                </c:pt>
                <c:pt idx="4">
                  <c:v>7845025</c:v>
                </c:pt>
              </c:numCache>
            </c:numRef>
          </c:val>
          <c:extLst>
            <c:ext xmlns:c16="http://schemas.microsoft.com/office/drawing/2014/chart" uri="{C3380CC4-5D6E-409C-BE32-E72D297353CC}">
              <c16:uniqueId val="{00000000-F76D-469E-9CE6-B5140797013B}"/>
            </c:ext>
          </c:extLst>
        </c:ser>
        <c:dLbls>
          <c:showLegendKey val="0"/>
          <c:showVal val="1"/>
          <c:showCatName val="0"/>
          <c:showSerName val="0"/>
          <c:showPercent val="0"/>
          <c:showBubbleSize val="0"/>
        </c:dLbls>
        <c:gapWidth val="80"/>
        <c:shape val="box"/>
        <c:axId val="1555238448"/>
        <c:axId val="1555236528"/>
        <c:axId val="0"/>
      </c:bar3DChart>
      <c:catAx>
        <c:axId val="1555238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tr-TR"/>
          </a:p>
        </c:txPr>
        <c:crossAx val="1555236528"/>
        <c:crosses val="autoZero"/>
        <c:auto val="1"/>
        <c:lblAlgn val="ctr"/>
        <c:lblOffset val="100"/>
        <c:noMultiLvlLbl val="0"/>
      </c:catAx>
      <c:valAx>
        <c:axId val="1555236528"/>
        <c:scaling>
          <c:orientation val="minMax"/>
        </c:scaling>
        <c:delete val="1"/>
        <c:axPos val="b"/>
        <c:numFmt formatCode="&quot;₺&quot;#,##0" sourceLinked="1"/>
        <c:majorTickMark val="none"/>
        <c:minorTickMark val="none"/>
        <c:tickLblPos val="nextTo"/>
        <c:crossAx val="155523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[Sales-Performance-Excel-Dashboard.xlsx]Top 3 Profit Pivot!PivotTable5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2000"/>
              <a:t>Top 3 Profit Pivot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a:glow>
                <a:schemeClr val="accent1"/>
              </a:glow>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a:glow>
                <a:schemeClr val="accent1"/>
              </a:glow>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solidFill>
              <a:schemeClr val="tx2">
                <a:lumMod val="90000"/>
                <a:lumOff val="10000"/>
              </a:schemeClr>
            </a:solidFill>
          </a:ln>
          <a:effectLst/>
          <a:sp3d>
            <a:contourClr>
              <a:schemeClr val="tx2">
                <a:lumMod val="90000"/>
                <a:lumOff val="1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solidFill>
              <a:schemeClr val="tx2">
                <a:lumMod val="90000"/>
                <a:lumOff val="10000"/>
              </a:schemeClr>
            </a:solidFill>
          </a:ln>
          <a:effectLst/>
          <a:sp3d>
            <a:contourClr>
              <a:schemeClr val="tx2">
                <a:lumMod val="90000"/>
                <a:lumOff val="10000"/>
              </a:schemeClr>
            </a:contourClr>
          </a:sp3d>
        </c:spPr>
      </c:pivotFmt>
      <c:pivotFmt>
        <c:idx val="4"/>
        <c:spPr>
          <a:solidFill>
            <a:schemeClr val="tx2">
              <a:lumMod val="90000"/>
              <a:lumOff val="10000"/>
            </a:schemeClr>
          </a:solidFill>
          <a:ln>
            <a:solidFill>
              <a:schemeClr val="tx2">
                <a:lumMod val="90000"/>
                <a:lumOff val="10000"/>
              </a:schemeClr>
            </a:solidFill>
          </a:ln>
          <a:effectLst/>
          <a:sp3d>
            <a:contourClr>
              <a:schemeClr val="tx2">
                <a:lumMod val="90000"/>
                <a:lumOff val="10000"/>
              </a:schemeClr>
            </a:contourClr>
          </a:sp3d>
        </c:spPr>
      </c:pivotFmt>
      <c:pivotFmt>
        <c:idx val="5"/>
        <c:spPr>
          <a:solidFill>
            <a:schemeClr val="tx2">
              <a:lumMod val="90000"/>
              <a:lumOff val="10000"/>
            </a:schemeClr>
          </a:solidFill>
          <a:ln>
            <a:solidFill>
              <a:schemeClr val="tx2">
                <a:lumMod val="90000"/>
                <a:lumOff val="10000"/>
              </a:schemeClr>
            </a:solidFill>
          </a:ln>
          <a:effectLst/>
          <a:sp3d>
            <a:contourClr>
              <a:schemeClr val="tx2">
                <a:lumMod val="90000"/>
                <a:lumOff val="1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3 Profit Pivot'!$B$5</c:f>
              <c:strCache>
                <c:ptCount val="1"/>
                <c:pt idx="0">
                  <c:v>Total</c:v>
                </c:pt>
              </c:strCache>
            </c:strRef>
          </c:tx>
          <c:spPr>
            <a:solidFill>
              <a:schemeClr val="tx2">
                <a:lumMod val="90000"/>
                <a:lumOff val="10000"/>
              </a:schemeClr>
            </a:solidFill>
            <a:ln>
              <a:solidFill>
                <a:schemeClr val="tx2">
                  <a:lumMod val="90000"/>
                  <a:lumOff val="10000"/>
                </a:schemeClr>
              </a:solidFill>
            </a:ln>
            <a:effectLst/>
            <a:sp3d>
              <a:contourClr>
                <a:schemeClr val="tx2">
                  <a:lumMod val="90000"/>
                  <a:lumOff val="1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Profit Pivot'!$A$6:$A$9</c:f>
              <c:strCache>
                <c:ptCount val="3"/>
                <c:pt idx="0">
                  <c:v>Laptop</c:v>
                </c:pt>
                <c:pt idx="1">
                  <c:v>Tablet</c:v>
                </c:pt>
                <c:pt idx="2">
                  <c:v>Phone</c:v>
                </c:pt>
              </c:strCache>
            </c:strRef>
          </c:cat>
          <c:val>
            <c:numRef>
              <c:f>'Top 3 Profit Pivot'!$B$6:$B$9</c:f>
              <c:numCache>
                <c:formatCode>"₺"#,##0</c:formatCode>
                <c:ptCount val="3"/>
                <c:pt idx="0">
                  <c:v>1680448</c:v>
                </c:pt>
                <c:pt idx="1">
                  <c:v>1590681</c:v>
                </c:pt>
                <c:pt idx="2">
                  <c:v>1526602</c:v>
                </c:pt>
              </c:numCache>
            </c:numRef>
          </c:val>
          <c:extLst>
            <c:ext xmlns:c16="http://schemas.microsoft.com/office/drawing/2014/chart" uri="{C3380CC4-5D6E-409C-BE32-E72D297353CC}">
              <c16:uniqueId val="{00000000-41D8-475C-9EFF-0917047509DD}"/>
            </c:ext>
          </c:extLst>
        </c:ser>
        <c:dLbls>
          <c:showLegendKey val="0"/>
          <c:showVal val="1"/>
          <c:showCatName val="0"/>
          <c:showSerName val="0"/>
          <c:showPercent val="0"/>
          <c:showBubbleSize val="0"/>
        </c:dLbls>
        <c:gapWidth val="150"/>
        <c:shape val="box"/>
        <c:axId val="382505392"/>
        <c:axId val="1608979024"/>
        <c:axId val="0"/>
      </c:bar3DChart>
      <c:catAx>
        <c:axId val="38250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tr-TR"/>
          </a:p>
        </c:txPr>
        <c:crossAx val="1608979024"/>
        <c:crosses val="autoZero"/>
        <c:auto val="1"/>
        <c:lblAlgn val="ctr"/>
        <c:lblOffset val="100"/>
        <c:noMultiLvlLbl val="0"/>
      </c:catAx>
      <c:valAx>
        <c:axId val="1608979024"/>
        <c:scaling>
          <c:orientation val="minMax"/>
        </c:scaling>
        <c:delete val="1"/>
        <c:axPos val="b"/>
        <c:numFmt formatCode="&quot;₺&quot;#,##0" sourceLinked="1"/>
        <c:majorTickMark val="none"/>
        <c:minorTickMark val="none"/>
        <c:tickLblPos val="nextTo"/>
        <c:crossAx val="38250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[Sales-Performance-Excel-Dashboard.xlsx]Monthly Profit Pivot!PivotTable3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2000" b="0" i="0" u="none" strike="noStrike" baseline="0"/>
              <a:t>Monthly Profit Pivot</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118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888888888888895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777777777777782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055555555556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75000000000005"/>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54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555555555555661E-2"/>
              <c:y val="9.95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118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888888888888895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777777777777782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055555555556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75000000000005"/>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54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555555555555661E-2"/>
              <c:y val="9.95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118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888888888888895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777777777777782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055555555556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75000000000005"/>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54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555555555555661E-2"/>
              <c:y val="9.95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118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888888888888895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777777777777782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055555555556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75000000000005"/>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54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555555555555661E-2"/>
              <c:y val="9.95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118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888888888888895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499566169931274E-2"/>
              <c:y val="0.17105352203078833"/>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055555555556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836149366533066E-2"/>
              <c:y val="-0.1511577617466394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54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555555555555661E-2"/>
              <c:y val="9.957166812481764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Profit Pivot'!$B$2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A0C0-4361-87D3-1EE998261553}"/>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0C0-4361-87D3-1EE998261553}"/>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0C0-4361-87D3-1EE998261553}"/>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A0C0-4361-87D3-1EE998261553}"/>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A0C0-4361-87D3-1EE998261553}"/>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A0C0-4361-87D3-1EE998261553}"/>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A0C0-4361-87D3-1EE998261553}"/>
              </c:ext>
            </c:extLst>
          </c:dPt>
          <c:dLbls>
            <c:dLbl>
              <c:idx val="1"/>
              <c:layout>
                <c:manualLayout>
                  <c:x val="-6.2861111111111118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C0-4361-87D3-1EE998261553}"/>
                </c:ext>
              </c:extLst>
            </c:dLbl>
            <c:dLbl>
              <c:idx val="2"/>
              <c:layout>
                <c:manualLayout>
                  <c:x val="-9.1888888888888895E-2"/>
                  <c:y val="-6.2465368912219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C0-4361-87D3-1EE998261553}"/>
                </c:ext>
              </c:extLst>
            </c:dLbl>
            <c:dLbl>
              <c:idx val="3"/>
              <c:layout>
                <c:manualLayout>
                  <c:x val="-8.2499566169931274E-2"/>
                  <c:y val="0.171053522030788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C0-4361-87D3-1EE998261553}"/>
                </c:ext>
              </c:extLst>
            </c:dLbl>
            <c:dLbl>
              <c:idx val="5"/>
              <c:layout>
                <c:manualLayout>
                  <c:x val="-8.2305555555555604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C0-4361-87D3-1EE998261553}"/>
                </c:ext>
              </c:extLst>
            </c:dLbl>
            <c:dLbl>
              <c:idx val="6"/>
              <c:layout>
                <c:manualLayout>
                  <c:x val="-8.2836149366533066E-2"/>
                  <c:y val="-0.151157761746639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C0-4361-87D3-1EE998261553}"/>
                </c:ext>
              </c:extLst>
            </c:dLbl>
            <c:dLbl>
              <c:idx val="8"/>
              <c:layout>
                <c:manualLayout>
                  <c:x val="-7.1194444444444546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C0-4361-87D3-1EE998261553}"/>
                </c:ext>
              </c:extLst>
            </c:dLbl>
            <c:dLbl>
              <c:idx val="10"/>
              <c:layout>
                <c:manualLayout>
                  <c:x val="-8.3555555555555661E-2"/>
                  <c:y val="9.95716681248176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C0-4361-87D3-1EE998261553}"/>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Pivot'!$A$3:$A$15</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'Monthly Profit Pivot'!$B$3:$B$15</c:f>
              <c:numCache>
                <c:formatCode>"₺"#,##0</c:formatCode>
                <c:ptCount val="12"/>
                <c:pt idx="0">
                  <c:v>1132530</c:v>
                </c:pt>
                <c:pt idx="1">
                  <c:v>982860</c:v>
                </c:pt>
                <c:pt idx="2">
                  <c:v>1044133</c:v>
                </c:pt>
                <c:pt idx="3">
                  <c:v>1214308</c:v>
                </c:pt>
                <c:pt idx="4">
                  <c:v>1081472</c:v>
                </c:pt>
                <c:pt idx="5">
                  <c:v>915803</c:v>
                </c:pt>
                <c:pt idx="6">
                  <c:v>888328</c:v>
                </c:pt>
                <c:pt idx="7">
                  <c:v>1146607</c:v>
                </c:pt>
                <c:pt idx="8">
                  <c:v>625531</c:v>
                </c:pt>
                <c:pt idx="9">
                  <c:v>1194844</c:v>
                </c:pt>
                <c:pt idx="10">
                  <c:v>1061038</c:v>
                </c:pt>
                <c:pt idx="11">
                  <c:v>1053397</c:v>
                </c:pt>
              </c:numCache>
            </c:numRef>
          </c:val>
          <c:smooth val="0"/>
          <c:extLst>
            <c:ext xmlns:c16="http://schemas.microsoft.com/office/drawing/2014/chart" uri="{C3380CC4-5D6E-409C-BE32-E72D297353CC}">
              <c16:uniqueId val="{00000007-A0C0-4361-87D3-1EE998261553}"/>
            </c:ext>
          </c:extLst>
        </c:ser>
        <c:dLbls>
          <c:dLblPos val="t"/>
          <c:showLegendKey val="0"/>
          <c:showVal val="1"/>
          <c:showCatName val="0"/>
          <c:showSerName val="0"/>
          <c:showPercent val="0"/>
          <c:showBubbleSize val="0"/>
        </c:dLbls>
        <c:marker val="1"/>
        <c:smooth val="0"/>
        <c:axId val="480047504"/>
        <c:axId val="480047984"/>
      </c:lineChart>
      <c:catAx>
        <c:axId val="4800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80047984"/>
        <c:crosses val="autoZero"/>
        <c:auto val="1"/>
        <c:lblAlgn val="ctr"/>
        <c:lblOffset val="100"/>
        <c:noMultiLvlLbl val="0"/>
      </c:catAx>
      <c:valAx>
        <c:axId val="480047984"/>
        <c:scaling>
          <c:orientation val="minMax"/>
        </c:scaling>
        <c:delete val="1"/>
        <c:axPos val="l"/>
        <c:numFmt formatCode="&quot;₺&quot;#,##0" sourceLinked="1"/>
        <c:majorTickMark val="none"/>
        <c:minorTickMark val="none"/>
        <c:tickLblPos val="nextTo"/>
        <c:crossAx val="48004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'Monthly Profit Pivot'!$B$17</c:f>
              <c:strCache>
                <c:ptCount val="1"/>
                <c:pt idx="0">
                  <c:v>Profit Average</c:v>
                </c:pt>
              </c:strCache>
            </c:strRef>
          </c:tx>
          <c:spPr>
            <a:ln w="28575" cap="rnd">
              <a:solidFill>
                <a:schemeClr val="bg1">
                  <a:lumMod val="65000"/>
                </a:schemeClr>
              </a:solidFill>
              <a:round/>
            </a:ln>
            <a:effectLst/>
          </c:spPr>
          <c:marker>
            <c:symbol val="none"/>
          </c:marker>
          <c:cat>
            <c:strRef>
              <c:f>'Monthly Profit Pivot'!$A$18:$A$29</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'Monthly Profit Pivot'!$B$18:$B$29</c:f>
              <c:numCache>
                <c:formatCode>"₺"#,##0</c:formatCode>
                <c:ptCount val="12"/>
                <c:pt idx="0">
                  <c:v>1028404.25</c:v>
                </c:pt>
                <c:pt idx="1">
                  <c:v>1028404.25</c:v>
                </c:pt>
                <c:pt idx="2">
                  <c:v>1028404.25</c:v>
                </c:pt>
                <c:pt idx="3">
                  <c:v>1028404.25</c:v>
                </c:pt>
                <c:pt idx="4">
                  <c:v>1028404.25</c:v>
                </c:pt>
                <c:pt idx="5">
                  <c:v>1028404.25</c:v>
                </c:pt>
                <c:pt idx="6">
                  <c:v>1028404.25</c:v>
                </c:pt>
                <c:pt idx="7">
                  <c:v>1028404.25</c:v>
                </c:pt>
                <c:pt idx="8">
                  <c:v>1028404.25</c:v>
                </c:pt>
                <c:pt idx="9">
                  <c:v>1028404.25</c:v>
                </c:pt>
                <c:pt idx="10">
                  <c:v>1028404.25</c:v>
                </c:pt>
                <c:pt idx="11">
                  <c:v>1028404.25</c:v>
                </c:pt>
              </c:numCache>
            </c:numRef>
          </c:val>
          <c:smooth val="0"/>
          <c:extLst>
            <c:ext xmlns:c16="http://schemas.microsoft.com/office/drawing/2014/chart" uri="{C3380CC4-5D6E-409C-BE32-E72D297353CC}">
              <c16:uniqueId val="{00000000-182F-43B3-B6D0-6361059612E7}"/>
            </c:ext>
          </c:extLst>
        </c:ser>
        <c:dLbls>
          <c:showLegendKey val="0"/>
          <c:showVal val="0"/>
          <c:showCatName val="0"/>
          <c:showSerName val="0"/>
          <c:showPercent val="0"/>
          <c:showBubbleSize val="0"/>
        </c:dLbls>
        <c:smooth val="0"/>
        <c:axId val="302617872"/>
        <c:axId val="302626512"/>
      </c:lineChart>
      <c:catAx>
        <c:axId val="302617872"/>
        <c:scaling>
          <c:orientation val="minMax"/>
        </c:scaling>
        <c:delete val="1"/>
        <c:axPos val="b"/>
        <c:numFmt formatCode="General" sourceLinked="1"/>
        <c:majorTickMark val="out"/>
        <c:minorTickMark val="none"/>
        <c:tickLblPos val="nextTo"/>
        <c:crossAx val="302626512"/>
        <c:crosses val="autoZero"/>
        <c:auto val="1"/>
        <c:lblAlgn val="ctr"/>
        <c:lblOffset val="100"/>
        <c:noMultiLvlLbl val="0"/>
      </c:catAx>
      <c:valAx>
        <c:axId val="302626512"/>
        <c:scaling>
          <c:orientation val="minMax"/>
        </c:scaling>
        <c:delete val="1"/>
        <c:axPos val="l"/>
        <c:numFmt formatCode="&quot;₺&quot;#,##0" sourceLinked="1"/>
        <c:majorTickMark val="out"/>
        <c:minorTickMark val="none"/>
        <c:tickLblPos val="nextTo"/>
        <c:crossAx val="302617872"/>
        <c:crosses val="autoZero"/>
        <c:crossBetween val="between"/>
      </c:valAx>
      <c:spPr>
        <a:noFill/>
        <a:ln>
          <a:noFill/>
        </a:ln>
        <a:effectLst>
          <a:glow rad="127000">
            <a:schemeClr val="accent1">
              <a:alpha val="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[Sales-Performance-Excel-Dashboard.xlsx]Category Pivot!PivotTable1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Category Pivot</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 Pivot'!$B$5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Pivot'!$A$6:$A$11</c:f>
              <c:strCache>
                <c:ptCount val="5"/>
                <c:pt idx="0">
                  <c:v>Clothing</c:v>
                </c:pt>
                <c:pt idx="1">
                  <c:v>Furniture</c:v>
                </c:pt>
                <c:pt idx="2">
                  <c:v>Home Appliances</c:v>
                </c:pt>
                <c:pt idx="3">
                  <c:v>Sports</c:v>
                </c:pt>
                <c:pt idx="4">
                  <c:v>Technology</c:v>
                </c:pt>
              </c:strCache>
            </c:strRef>
          </c:cat>
          <c:val>
            <c:numRef>
              <c:f>'Category Pivot'!$B$6:$B$11</c:f>
              <c:numCache>
                <c:formatCode>"₺"#,##0</c:formatCode>
                <c:ptCount val="5"/>
                <c:pt idx="0">
                  <c:v>2420532</c:v>
                </c:pt>
                <c:pt idx="1">
                  <c:v>6317756</c:v>
                </c:pt>
                <c:pt idx="2">
                  <c:v>5040058</c:v>
                </c:pt>
                <c:pt idx="3">
                  <c:v>3986740</c:v>
                </c:pt>
                <c:pt idx="4">
                  <c:v>18166797</c:v>
                </c:pt>
              </c:numCache>
            </c:numRef>
          </c:val>
          <c:extLst>
            <c:ext xmlns:c16="http://schemas.microsoft.com/office/drawing/2014/chart" uri="{C3380CC4-5D6E-409C-BE32-E72D297353CC}">
              <c16:uniqueId val="{00000000-385B-4F3F-B53D-57F3016F1F7F}"/>
            </c:ext>
          </c:extLst>
        </c:ser>
        <c:dLbls>
          <c:showLegendKey val="0"/>
          <c:showVal val="1"/>
          <c:showCatName val="0"/>
          <c:showSerName val="0"/>
          <c:showPercent val="0"/>
          <c:showBubbleSize val="0"/>
        </c:dLbls>
        <c:gapWidth val="150"/>
        <c:shape val="box"/>
        <c:axId val="1531098640"/>
        <c:axId val="1531100080"/>
        <c:axId val="0"/>
      </c:bar3DChart>
      <c:catAx>
        <c:axId val="153109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31100080"/>
        <c:crosses val="autoZero"/>
        <c:auto val="1"/>
        <c:lblAlgn val="ctr"/>
        <c:lblOffset val="100"/>
        <c:noMultiLvlLbl val="0"/>
      </c:catAx>
      <c:valAx>
        <c:axId val="1531100080"/>
        <c:scaling>
          <c:orientation val="minMax"/>
        </c:scaling>
        <c:delete val="1"/>
        <c:axPos val="l"/>
        <c:numFmt formatCode="&quot;₺&quot;#,##0" sourceLinked="1"/>
        <c:majorTickMark val="none"/>
        <c:minorTickMark val="none"/>
        <c:tickLblPos val="nextTo"/>
        <c:crossAx val="153109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[Sales-Performance-Excel-Dashboard.xlsx]Monthly Profit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Monthly Profit Pivot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861111111111118E-2"/>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1888888888888895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777777777777782E-2"/>
              <c:y val="0.11346055701370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2305555555555604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175000000000005"/>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194444444444546E-2"/>
              <c:y val="4.4016112569262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555555555555661E-2"/>
              <c:y val="9.95716681248176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Profit Pivot'!$B$2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C236-46FA-85CB-9A4F80ACC100}"/>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C236-46FA-85CB-9A4F80ACC100}"/>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C236-46FA-85CB-9A4F80ACC100}"/>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C236-46FA-85CB-9A4F80ACC100}"/>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C236-46FA-85CB-9A4F80ACC100}"/>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C236-46FA-85CB-9A4F80ACC100}"/>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C236-46FA-85CB-9A4F80ACC100}"/>
              </c:ext>
            </c:extLst>
          </c:dPt>
          <c:dLbls>
            <c:dLbl>
              <c:idx val="1"/>
              <c:layout>
                <c:manualLayout>
                  <c:x val="-6.2861111111111118E-2"/>
                  <c:y val="7.6423519976669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36-46FA-85CB-9A4F80ACC100}"/>
                </c:ext>
              </c:extLst>
            </c:dLbl>
            <c:dLbl>
              <c:idx val="2"/>
              <c:layout>
                <c:manualLayout>
                  <c:x val="-9.1888888888888895E-2"/>
                  <c:y val="-6.2465368912219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36-46FA-85CB-9A4F80ACC100}"/>
                </c:ext>
              </c:extLst>
            </c:dLbl>
            <c:dLbl>
              <c:idx val="3"/>
              <c:layout>
                <c:manualLayout>
                  <c:x val="-8.0777777777777782E-2"/>
                  <c:y val="0.11346055701370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36-46FA-85CB-9A4F80ACC100}"/>
                </c:ext>
              </c:extLst>
            </c:dLbl>
            <c:dLbl>
              <c:idx val="5"/>
              <c:layout>
                <c:manualLayout>
                  <c:x val="-8.2305555555555604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36-46FA-85CB-9A4F80ACC100}"/>
                </c:ext>
              </c:extLst>
            </c:dLbl>
            <c:dLbl>
              <c:idx val="6"/>
              <c:layout>
                <c:manualLayout>
                  <c:x val="-0.10175000000000005"/>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36-46FA-85CB-9A4F80ACC100}"/>
                </c:ext>
              </c:extLst>
            </c:dLbl>
            <c:dLbl>
              <c:idx val="8"/>
              <c:layout>
                <c:manualLayout>
                  <c:x val="-7.1194444444444546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36-46FA-85CB-9A4F80ACC100}"/>
                </c:ext>
              </c:extLst>
            </c:dLbl>
            <c:dLbl>
              <c:idx val="10"/>
              <c:layout>
                <c:manualLayout>
                  <c:x val="-8.3555555555555661E-2"/>
                  <c:y val="9.95716681248176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236-46FA-85CB-9A4F80ACC1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Pivot'!$A$3:$A$15</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'Monthly Profit Pivot'!$B$3:$B$15</c:f>
              <c:numCache>
                <c:formatCode>"₺"#,##0</c:formatCode>
                <c:ptCount val="12"/>
                <c:pt idx="0">
                  <c:v>1132530</c:v>
                </c:pt>
                <c:pt idx="1">
                  <c:v>982860</c:v>
                </c:pt>
                <c:pt idx="2">
                  <c:v>1044133</c:v>
                </c:pt>
                <c:pt idx="3">
                  <c:v>1214308</c:v>
                </c:pt>
                <c:pt idx="4">
                  <c:v>1081472</c:v>
                </c:pt>
                <c:pt idx="5">
                  <c:v>915803</c:v>
                </c:pt>
                <c:pt idx="6">
                  <c:v>888328</c:v>
                </c:pt>
                <c:pt idx="7">
                  <c:v>1146607</c:v>
                </c:pt>
                <c:pt idx="8">
                  <c:v>625531</c:v>
                </c:pt>
                <c:pt idx="9">
                  <c:v>1194844</c:v>
                </c:pt>
                <c:pt idx="10">
                  <c:v>1061038</c:v>
                </c:pt>
                <c:pt idx="11">
                  <c:v>1053397</c:v>
                </c:pt>
              </c:numCache>
            </c:numRef>
          </c:val>
          <c:smooth val="0"/>
          <c:extLst>
            <c:ext xmlns:c16="http://schemas.microsoft.com/office/drawing/2014/chart" uri="{C3380CC4-5D6E-409C-BE32-E72D297353CC}">
              <c16:uniqueId val="{00000000-C236-46FA-85CB-9A4F80ACC100}"/>
            </c:ext>
          </c:extLst>
        </c:ser>
        <c:dLbls>
          <c:dLblPos val="t"/>
          <c:showLegendKey val="0"/>
          <c:showVal val="1"/>
          <c:showCatName val="0"/>
          <c:showSerName val="0"/>
          <c:showPercent val="0"/>
          <c:showBubbleSize val="0"/>
        </c:dLbls>
        <c:marker val="1"/>
        <c:smooth val="0"/>
        <c:axId val="480047504"/>
        <c:axId val="480047984"/>
      </c:lineChart>
      <c:catAx>
        <c:axId val="48004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80047984"/>
        <c:crosses val="autoZero"/>
        <c:auto val="1"/>
        <c:lblAlgn val="ctr"/>
        <c:lblOffset val="100"/>
        <c:noMultiLvlLbl val="0"/>
      </c:catAx>
      <c:valAx>
        <c:axId val="480047984"/>
        <c:scaling>
          <c:orientation val="minMax"/>
        </c:scaling>
        <c:delete val="1"/>
        <c:axPos val="l"/>
        <c:numFmt formatCode="&quot;₺&quot;#,##0" sourceLinked="1"/>
        <c:majorTickMark val="none"/>
        <c:minorTickMark val="none"/>
        <c:tickLblPos val="nextTo"/>
        <c:crossAx val="48004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'Monthly Profit Pivot'!$B$17</c:f>
              <c:strCache>
                <c:ptCount val="1"/>
                <c:pt idx="0">
                  <c:v>Profit Average</c:v>
                </c:pt>
              </c:strCache>
            </c:strRef>
          </c:tx>
          <c:spPr>
            <a:ln w="28575" cap="rnd">
              <a:solidFill>
                <a:schemeClr val="bg1">
                  <a:lumMod val="75000"/>
                </a:schemeClr>
              </a:solidFill>
              <a:round/>
            </a:ln>
            <a:effectLst/>
          </c:spPr>
          <c:marker>
            <c:symbol val="none"/>
          </c:marker>
          <c:cat>
            <c:strRef>
              <c:f>'Monthly Profit Pivot'!$A$18:$A$29</c:f>
              <c:strCache>
                <c:ptCount val="12"/>
                <c:pt idx="0">
                  <c:v>Oca</c:v>
                </c:pt>
                <c:pt idx="1">
                  <c:v>Şub</c:v>
                </c:pt>
                <c:pt idx="2">
                  <c:v>Mar</c:v>
                </c:pt>
                <c:pt idx="3">
                  <c:v>Nis</c:v>
                </c:pt>
                <c:pt idx="4">
                  <c:v>May</c:v>
                </c:pt>
                <c:pt idx="5">
                  <c:v>Haz</c:v>
                </c:pt>
                <c:pt idx="6">
                  <c:v>Tem</c:v>
                </c:pt>
                <c:pt idx="7">
                  <c:v>Ağu</c:v>
                </c:pt>
                <c:pt idx="8">
                  <c:v>Eyl</c:v>
                </c:pt>
                <c:pt idx="9">
                  <c:v>Eki</c:v>
                </c:pt>
                <c:pt idx="10">
                  <c:v>Kas</c:v>
                </c:pt>
                <c:pt idx="11">
                  <c:v>Ara</c:v>
                </c:pt>
              </c:strCache>
            </c:strRef>
          </c:cat>
          <c:val>
            <c:numRef>
              <c:f>'Monthly Profit Pivot'!$B$18:$B$29</c:f>
              <c:numCache>
                <c:formatCode>"₺"#,##0</c:formatCode>
                <c:ptCount val="12"/>
                <c:pt idx="0">
                  <c:v>1028404.25</c:v>
                </c:pt>
                <c:pt idx="1">
                  <c:v>1028404.25</c:v>
                </c:pt>
                <c:pt idx="2">
                  <c:v>1028404.25</c:v>
                </c:pt>
                <c:pt idx="3">
                  <c:v>1028404.25</c:v>
                </c:pt>
                <c:pt idx="4">
                  <c:v>1028404.25</c:v>
                </c:pt>
                <c:pt idx="5">
                  <c:v>1028404.25</c:v>
                </c:pt>
                <c:pt idx="6">
                  <c:v>1028404.25</c:v>
                </c:pt>
                <c:pt idx="7">
                  <c:v>1028404.25</c:v>
                </c:pt>
                <c:pt idx="8">
                  <c:v>1028404.25</c:v>
                </c:pt>
                <c:pt idx="9">
                  <c:v>1028404.25</c:v>
                </c:pt>
                <c:pt idx="10">
                  <c:v>1028404.25</c:v>
                </c:pt>
                <c:pt idx="11">
                  <c:v>1028404.25</c:v>
                </c:pt>
              </c:numCache>
            </c:numRef>
          </c:val>
          <c:smooth val="0"/>
          <c:extLst>
            <c:ext xmlns:c16="http://schemas.microsoft.com/office/drawing/2014/chart" uri="{C3380CC4-5D6E-409C-BE32-E72D297353CC}">
              <c16:uniqueId val="{00000000-6254-4FF0-8F90-A515BBE50019}"/>
            </c:ext>
          </c:extLst>
        </c:ser>
        <c:dLbls>
          <c:showLegendKey val="0"/>
          <c:showVal val="0"/>
          <c:showCatName val="0"/>
          <c:showSerName val="0"/>
          <c:showPercent val="0"/>
          <c:showBubbleSize val="0"/>
        </c:dLbls>
        <c:smooth val="0"/>
        <c:axId val="302617872"/>
        <c:axId val="302626512"/>
      </c:lineChart>
      <c:catAx>
        <c:axId val="302617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02626512"/>
        <c:crosses val="autoZero"/>
        <c:auto val="1"/>
        <c:lblAlgn val="ctr"/>
        <c:lblOffset val="100"/>
        <c:noMultiLvlLbl val="0"/>
      </c:catAx>
      <c:valAx>
        <c:axId val="302626512"/>
        <c:scaling>
          <c:orientation val="minMax"/>
        </c:scaling>
        <c:delete val="1"/>
        <c:axPos val="l"/>
        <c:numFmt formatCode="&quot;₺&quot;#,##0" sourceLinked="1"/>
        <c:majorTickMark val="out"/>
        <c:minorTickMark val="none"/>
        <c:tickLblPos val="nextTo"/>
        <c:crossAx val="302617872"/>
        <c:crosses val="autoZero"/>
        <c:crossBetween val="between"/>
      </c:valAx>
      <c:spPr>
        <a:noFill/>
        <a:ln>
          <a:noFill/>
        </a:ln>
        <a:effectLst>
          <a:glow rad="127000">
            <a:schemeClr val="accent1">
              <a:alpha val="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[Sales-Performance-Excel-Dashboard.xlsx]Region 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baseline="0"/>
              <a:t>Region Pivot</a:t>
            </a:r>
            <a:endParaRPr lang="en-US"/>
          </a:p>
        </c:rich>
      </c:tx>
      <c:layout>
        <c:manualLayout>
          <c:xMode val="edge"/>
          <c:yMode val="edge"/>
          <c:x val="0.3909096675415573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'Region Pivot'!$B$6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Pivot'!$A$7:$A$12</c:f>
              <c:strCache>
                <c:ptCount val="5"/>
                <c:pt idx="0">
                  <c:v>Marmara</c:v>
                </c:pt>
                <c:pt idx="1">
                  <c:v>Akdeniz</c:v>
                </c:pt>
                <c:pt idx="2">
                  <c:v>Ege</c:v>
                </c:pt>
                <c:pt idx="3">
                  <c:v>İç Anadolu</c:v>
                </c:pt>
                <c:pt idx="4">
                  <c:v>Karadeniz</c:v>
                </c:pt>
              </c:strCache>
            </c:strRef>
          </c:cat>
          <c:val>
            <c:numRef>
              <c:f>'Region Pivot'!$B$7:$B$12</c:f>
              <c:numCache>
                <c:formatCode>"₺"#,##0</c:formatCode>
                <c:ptCount val="5"/>
                <c:pt idx="0">
                  <c:v>6471247</c:v>
                </c:pt>
                <c:pt idx="1">
                  <c:v>6959144</c:v>
                </c:pt>
                <c:pt idx="2">
                  <c:v>7030019</c:v>
                </c:pt>
                <c:pt idx="3">
                  <c:v>7626448</c:v>
                </c:pt>
                <c:pt idx="4">
                  <c:v>7845025</c:v>
                </c:pt>
              </c:numCache>
            </c:numRef>
          </c:val>
          <c:extLst>
            <c:ext xmlns:c16="http://schemas.microsoft.com/office/drawing/2014/chart" uri="{C3380CC4-5D6E-409C-BE32-E72D297353CC}">
              <c16:uniqueId val="{00000000-93C9-43EE-9D7E-E1EA9471FE75}"/>
            </c:ext>
          </c:extLst>
        </c:ser>
        <c:dLbls>
          <c:showLegendKey val="0"/>
          <c:showVal val="1"/>
          <c:showCatName val="0"/>
          <c:showSerName val="0"/>
          <c:showPercent val="0"/>
          <c:showBubbleSize val="0"/>
        </c:dLbls>
        <c:gapWidth val="150"/>
        <c:shape val="box"/>
        <c:axId val="1555238448"/>
        <c:axId val="1555236528"/>
        <c:axId val="0"/>
      </c:bar3DChart>
      <c:catAx>
        <c:axId val="1555238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555236528"/>
        <c:crosses val="autoZero"/>
        <c:auto val="1"/>
        <c:lblAlgn val="ctr"/>
        <c:lblOffset val="100"/>
        <c:noMultiLvlLbl val="0"/>
      </c:catAx>
      <c:valAx>
        <c:axId val="1555236528"/>
        <c:scaling>
          <c:orientation val="minMax"/>
        </c:scaling>
        <c:delete val="1"/>
        <c:axPos val="b"/>
        <c:numFmt formatCode="&quot;₺&quot;#,##0" sourceLinked="1"/>
        <c:majorTickMark val="none"/>
        <c:minorTickMark val="none"/>
        <c:tickLblPos val="nextTo"/>
        <c:crossAx val="155523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[Sales-Performance-Excel-Dashboard.xlsx]Top 3 Profit Pivot!PivotTable5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Top 3 Profit Pivot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3 Profit Pivot'!$B$5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3 Profit Pivot'!$A$6:$A$9</c:f>
              <c:strCache>
                <c:ptCount val="3"/>
                <c:pt idx="0">
                  <c:v>Laptop</c:v>
                </c:pt>
                <c:pt idx="1">
                  <c:v>Tablet</c:v>
                </c:pt>
                <c:pt idx="2">
                  <c:v>Phone</c:v>
                </c:pt>
              </c:strCache>
            </c:strRef>
          </c:cat>
          <c:val>
            <c:numRef>
              <c:f>'Top 3 Profit Pivot'!$B$6:$B$9</c:f>
              <c:numCache>
                <c:formatCode>"₺"#,##0</c:formatCode>
                <c:ptCount val="3"/>
                <c:pt idx="0">
                  <c:v>1680448</c:v>
                </c:pt>
                <c:pt idx="1">
                  <c:v>1590681</c:v>
                </c:pt>
                <c:pt idx="2">
                  <c:v>1526602</c:v>
                </c:pt>
              </c:numCache>
            </c:numRef>
          </c:val>
          <c:extLst>
            <c:ext xmlns:c16="http://schemas.microsoft.com/office/drawing/2014/chart" uri="{C3380CC4-5D6E-409C-BE32-E72D297353CC}">
              <c16:uniqueId val="{00000000-2BDF-4F03-AE11-999F0B7AEA8C}"/>
            </c:ext>
          </c:extLst>
        </c:ser>
        <c:dLbls>
          <c:showLegendKey val="0"/>
          <c:showVal val="1"/>
          <c:showCatName val="0"/>
          <c:showSerName val="0"/>
          <c:showPercent val="0"/>
          <c:showBubbleSize val="0"/>
        </c:dLbls>
        <c:gapWidth val="150"/>
        <c:shape val="box"/>
        <c:axId val="382505392"/>
        <c:axId val="1608979024"/>
        <c:axId val="0"/>
      </c:bar3DChart>
      <c:catAx>
        <c:axId val="38250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608979024"/>
        <c:crosses val="autoZero"/>
        <c:auto val="1"/>
        <c:lblAlgn val="ctr"/>
        <c:lblOffset val="100"/>
        <c:noMultiLvlLbl val="0"/>
      </c:catAx>
      <c:valAx>
        <c:axId val="1608979024"/>
        <c:scaling>
          <c:orientation val="minMax"/>
        </c:scaling>
        <c:delete val="1"/>
        <c:axPos val="b"/>
        <c:numFmt formatCode="&quot;₺&quot;#,##0" sourceLinked="1"/>
        <c:majorTickMark val="none"/>
        <c:minorTickMark val="none"/>
        <c:tickLblPos val="nextTo"/>
        <c:crossAx val="38250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883529</xdr:colOff>
      <xdr:row>10</xdr:row>
      <xdr:rowOff>94762</xdr:rowOff>
    </xdr:from>
    <xdr:to>
      <xdr:col>12</xdr:col>
      <xdr:colOff>1132448</xdr:colOff>
      <xdr:row>26</xdr:row>
      <xdr:rowOff>41227</xdr:rowOff>
    </xdr:to>
    <xdr:graphicFrame macro="">
      <xdr:nvGraphicFramePr>
        <xdr:cNvPr id="2" name="Grafik 1">
          <a:extLst>
            <a:ext uri="{FF2B5EF4-FFF2-40B4-BE49-F238E27FC236}">
              <a16:creationId xmlns:a16="http://schemas.microsoft.com/office/drawing/2014/main" id="{3C67A3D1-51BC-4BF2-B9FA-726DA2827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870828</xdr:colOff>
      <xdr:row>27</xdr:row>
      <xdr:rowOff>152400</xdr:rowOff>
    </xdr:from>
    <xdr:to>
      <xdr:col>12</xdr:col>
      <xdr:colOff>1223888</xdr:colOff>
      <xdr:row>45</xdr:row>
      <xdr:rowOff>181131</xdr:rowOff>
    </xdr:to>
    <xdr:graphicFrame macro="">
      <xdr:nvGraphicFramePr>
        <xdr:cNvPr id="4" name="Grafik 3">
          <a:extLst>
            <a:ext uri="{FF2B5EF4-FFF2-40B4-BE49-F238E27FC236}">
              <a16:creationId xmlns:a16="http://schemas.microsoft.com/office/drawing/2014/main" id="{EF9AA196-182C-4C2B-A7EE-5F2FA8D45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54610</xdr:colOff>
      <xdr:row>10</xdr:row>
      <xdr:rowOff>159376</xdr:rowOff>
    </xdr:from>
    <xdr:to>
      <xdr:col>8</xdr:col>
      <xdr:colOff>520503</xdr:colOff>
      <xdr:row>21</xdr:row>
      <xdr:rowOff>24140</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80EA9DB3-4271-361F-4338-720DB3FFEF92}"/>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380425" y="2996361"/>
              <a:ext cx="1626478" cy="1951471"/>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44297</xdr:colOff>
      <xdr:row>22</xdr:row>
      <xdr:rowOff>14202</xdr:rowOff>
    </xdr:from>
    <xdr:to>
      <xdr:col>8</xdr:col>
      <xdr:colOff>444303</xdr:colOff>
      <xdr:row>32</xdr:row>
      <xdr:rowOff>164778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F8E5B25-D7AE-CF1E-F58E-6893621166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70112" y="5125464"/>
              <a:ext cx="1560591" cy="2026268"/>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61529</xdr:colOff>
      <xdr:row>34</xdr:row>
      <xdr:rowOff>3636</xdr:rowOff>
    </xdr:from>
    <xdr:to>
      <xdr:col>8</xdr:col>
      <xdr:colOff>444303</xdr:colOff>
      <xdr:row>44</xdr:row>
      <xdr:rowOff>175687</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B1E577C-2CD8-1BD1-5FBA-F125A8847E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87344" y="7365728"/>
              <a:ext cx="1543359" cy="2047744"/>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1476041</xdr:colOff>
      <xdr:row>27</xdr:row>
      <xdr:rowOff>140677</xdr:rowOff>
    </xdr:from>
    <xdr:to>
      <xdr:col>18</xdr:col>
      <xdr:colOff>363414</xdr:colOff>
      <xdr:row>45</xdr:row>
      <xdr:rowOff>150056</xdr:rowOff>
    </xdr:to>
    <xdr:graphicFrame macro="">
      <xdr:nvGraphicFramePr>
        <xdr:cNvPr id="10" name="Grafik 9">
          <a:extLst>
            <a:ext uri="{FF2B5EF4-FFF2-40B4-BE49-F238E27FC236}">
              <a16:creationId xmlns:a16="http://schemas.microsoft.com/office/drawing/2014/main" id="{F937F279-4450-4694-983E-27C10CF64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1245454</xdr:colOff>
      <xdr:row>7</xdr:row>
      <xdr:rowOff>33298</xdr:rowOff>
    </xdr:from>
    <xdr:to>
      <xdr:col>10</xdr:col>
      <xdr:colOff>1721223</xdr:colOff>
      <xdr:row>7</xdr:row>
      <xdr:rowOff>510873</xdr:rowOff>
    </xdr:to>
    <xdr:pic>
      <xdr:nvPicPr>
        <xdr:cNvPr id="12" name="Resim 11">
          <a:extLst>
            <a:ext uri="{FF2B5EF4-FFF2-40B4-BE49-F238E27FC236}">
              <a16:creationId xmlns:a16="http://schemas.microsoft.com/office/drawing/2014/main" id="{A3922EFA-F957-F539-BB5E-8569FE0C0A4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56089" y="1593157"/>
          <a:ext cx="475769" cy="477575"/>
        </a:xfrm>
        <a:prstGeom prst="rect">
          <a:avLst/>
        </a:prstGeom>
      </xdr:spPr>
    </xdr:pic>
    <xdr:clientData/>
  </xdr:twoCellAnchor>
  <xdr:twoCellAnchor editAs="oneCell">
    <xdr:from>
      <xdr:col>12</xdr:col>
      <xdr:colOff>1386327</xdr:colOff>
      <xdr:row>7</xdr:row>
      <xdr:rowOff>138314</xdr:rowOff>
    </xdr:from>
    <xdr:to>
      <xdr:col>12</xdr:col>
      <xdr:colOff>1805077</xdr:colOff>
      <xdr:row>7</xdr:row>
      <xdr:rowOff>555812</xdr:rowOff>
    </xdr:to>
    <xdr:pic>
      <xdr:nvPicPr>
        <xdr:cNvPr id="14" name="Resim 13">
          <a:extLst>
            <a:ext uri="{FF2B5EF4-FFF2-40B4-BE49-F238E27FC236}">
              <a16:creationId xmlns:a16="http://schemas.microsoft.com/office/drawing/2014/main" id="{BF75B62F-5DCC-220B-3AB6-8906E0FBAF3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225527" y="1698173"/>
          <a:ext cx="418750" cy="417498"/>
        </a:xfrm>
        <a:prstGeom prst="rect">
          <a:avLst/>
        </a:prstGeom>
      </xdr:spPr>
    </xdr:pic>
    <xdr:clientData/>
  </xdr:twoCellAnchor>
  <xdr:twoCellAnchor editAs="oneCell">
    <xdr:from>
      <xdr:col>11</xdr:col>
      <xdr:colOff>1240973</xdr:colOff>
      <xdr:row>7</xdr:row>
      <xdr:rowOff>101750</xdr:rowOff>
    </xdr:from>
    <xdr:to>
      <xdr:col>11</xdr:col>
      <xdr:colOff>1791815</xdr:colOff>
      <xdr:row>7</xdr:row>
      <xdr:rowOff>564777</xdr:rowOff>
    </xdr:to>
    <xdr:pic>
      <xdr:nvPicPr>
        <xdr:cNvPr id="16" name="Resim 15">
          <a:extLst>
            <a:ext uri="{FF2B5EF4-FFF2-40B4-BE49-F238E27FC236}">
              <a16:creationId xmlns:a16="http://schemas.microsoft.com/office/drawing/2014/main" id="{564829A0-4EBC-28DD-8E5B-8285882DA80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865891" y="1661609"/>
          <a:ext cx="550842" cy="463027"/>
        </a:xfrm>
        <a:prstGeom prst="rect">
          <a:avLst/>
        </a:prstGeom>
      </xdr:spPr>
    </xdr:pic>
    <xdr:clientData/>
  </xdr:twoCellAnchor>
  <xdr:twoCellAnchor>
    <xdr:from>
      <xdr:col>12</xdr:col>
      <xdr:colOff>1422008</xdr:colOff>
      <xdr:row>10</xdr:row>
      <xdr:rowOff>134709</xdr:rowOff>
    </xdr:from>
    <xdr:to>
      <xdr:col>18</xdr:col>
      <xdr:colOff>316521</xdr:colOff>
      <xdr:row>26</xdr:row>
      <xdr:rowOff>47165</xdr:rowOff>
    </xdr:to>
    <xdr:graphicFrame macro="">
      <xdr:nvGraphicFramePr>
        <xdr:cNvPr id="33" name="Grafik 32">
          <a:extLst>
            <a:ext uri="{FF2B5EF4-FFF2-40B4-BE49-F238E27FC236}">
              <a16:creationId xmlns:a16="http://schemas.microsoft.com/office/drawing/2014/main" id="{0A630BB4-0039-4B18-AC76-9B526745D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1429628</xdr:colOff>
      <xdr:row>13</xdr:row>
      <xdr:rowOff>184513</xdr:rowOff>
    </xdr:from>
    <xdr:to>
      <xdr:col>18</xdr:col>
      <xdr:colOff>316219</xdr:colOff>
      <xdr:row>26</xdr:row>
      <xdr:rowOff>23449</xdr:rowOff>
    </xdr:to>
    <xdr:graphicFrame macro="">
      <xdr:nvGraphicFramePr>
        <xdr:cNvPr id="34" name="Grafik 33">
          <a:extLst>
            <a:ext uri="{FF2B5EF4-FFF2-40B4-BE49-F238E27FC236}">
              <a16:creationId xmlns:a16="http://schemas.microsoft.com/office/drawing/2014/main" id="{AC89A1F7-7E4F-4C84-8FF9-21A859FD2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701040</xdr:colOff>
      <xdr:row>1</xdr:row>
      <xdr:rowOff>99060</xdr:rowOff>
    </xdr:from>
    <xdr:to>
      <xdr:col>9</xdr:col>
      <xdr:colOff>419100</xdr:colOff>
      <xdr:row>16</xdr:row>
      <xdr:rowOff>99060</xdr:rowOff>
    </xdr:to>
    <xdr:graphicFrame macro="">
      <xdr:nvGraphicFramePr>
        <xdr:cNvPr id="5" name="Grafik 4">
          <a:extLst>
            <a:ext uri="{FF2B5EF4-FFF2-40B4-BE49-F238E27FC236}">
              <a16:creationId xmlns:a16="http://schemas.microsoft.com/office/drawing/2014/main" id="{B9E489B9-7C8A-79A7-61B5-029D8E579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320040</xdr:colOff>
      <xdr:row>4</xdr:row>
      <xdr:rowOff>129540</xdr:rowOff>
    </xdr:from>
    <xdr:to>
      <xdr:col>12</xdr:col>
      <xdr:colOff>30480</xdr:colOff>
      <xdr:row>20</xdr:row>
      <xdr:rowOff>160020</xdr:rowOff>
    </xdr:to>
    <xdr:graphicFrame macro="">
      <xdr:nvGraphicFramePr>
        <xdr:cNvPr id="2" name="Grafik 1">
          <a:extLst>
            <a:ext uri="{FF2B5EF4-FFF2-40B4-BE49-F238E27FC236}">
              <a16:creationId xmlns:a16="http://schemas.microsoft.com/office/drawing/2014/main" id="{347CE89C-6B99-51D6-0E2F-9D017FCE3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8</xdr:row>
      <xdr:rowOff>103844</xdr:rowOff>
    </xdr:from>
    <xdr:to>
      <xdr:col>12</xdr:col>
      <xdr:colOff>38100</xdr:colOff>
      <xdr:row>20</xdr:row>
      <xdr:rowOff>163830</xdr:rowOff>
    </xdr:to>
    <xdr:graphicFrame macro="">
      <xdr:nvGraphicFramePr>
        <xdr:cNvPr id="3" name="Grafik 2">
          <a:extLst>
            <a:ext uri="{FF2B5EF4-FFF2-40B4-BE49-F238E27FC236}">
              <a16:creationId xmlns:a16="http://schemas.microsoft.com/office/drawing/2014/main" id="{3205BD2E-7EE4-304F-6985-F406D6DFD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xdr:colOff>
      <xdr:row>2</xdr:row>
      <xdr:rowOff>76200</xdr:rowOff>
    </xdr:from>
    <xdr:to>
      <xdr:col>10</xdr:col>
      <xdr:colOff>426720</xdr:colOff>
      <xdr:row>17</xdr:row>
      <xdr:rowOff>76200</xdr:rowOff>
    </xdr:to>
    <xdr:graphicFrame macro="">
      <xdr:nvGraphicFramePr>
        <xdr:cNvPr id="2" name="Grafik 1">
          <a:extLst>
            <a:ext uri="{FF2B5EF4-FFF2-40B4-BE49-F238E27FC236}">
              <a16:creationId xmlns:a16="http://schemas.microsoft.com/office/drawing/2014/main" id="{72162DFA-1B8C-71F1-B80B-0A609E9F6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2</xdr:row>
      <xdr:rowOff>15240</xdr:rowOff>
    </xdr:from>
    <xdr:to>
      <xdr:col>11</xdr:col>
      <xdr:colOff>213360</xdr:colOff>
      <xdr:row>17</xdr:row>
      <xdr:rowOff>15240</xdr:rowOff>
    </xdr:to>
    <xdr:graphicFrame macro="">
      <xdr:nvGraphicFramePr>
        <xdr:cNvPr id="4" name="Grafik 3">
          <a:extLst>
            <a:ext uri="{FF2B5EF4-FFF2-40B4-BE49-F238E27FC236}">
              <a16:creationId xmlns:a16="http://schemas.microsoft.com/office/drawing/2014/main" id="{DBFE08D6-B8FC-7F7B-B94A-C48CC34B0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em" refreshedDate="46067.734168750001" createdVersion="8" refreshedVersion="8" minRefreshableVersion="3" recordCount="1000" xr:uid="{78A60C4A-A88E-4DF2-A11F-AB5A1CC6CB40}">
  <cacheSource type="worksheet">
    <worksheetSource name="Tablo1"/>
  </cacheSource>
  <cacheFields count="14">
    <cacheField name="Order_ID" numFmtId="0">
      <sharedItems containsSemiMixedTypes="0" containsString="0" containsNumber="1" containsInteger="1" minValue="1001" maxValue="2000"/>
    </cacheField>
    <cacheField name="Order_Date" numFmtId="14">
      <sharedItems containsSemiMixedTypes="0" containsNonDate="0" containsDate="1" containsString="0" minDate="2024-01-01T00:00:00" maxDate="2024-12-31T00:00:00" count="341">
        <d v="2024-10-08T00:00:00"/>
        <d v="2024-07-15T00:00:00"/>
        <d v="2024-02-07T00:00:00"/>
        <d v="2024-12-01T00:00:00"/>
        <d v="2024-10-06T00:00:00"/>
        <d v="2024-11-14T00:00:00"/>
        <d v="2024-08-10T00:00:00"/>
        <d v="2024-06-24T00:00:00"/>
        <d v="2024-03-24T00:00:00"/>
        <d v="2024-05-31T00:00:00"/>
        <d v="2024-12-23T00:00:00"/>
        <d v="2024-08-18T00:00:00"/>
        <d v="2024-10-15T00:00:00"/>
        <d v="2024-04-09T00:00:00"/>
        <d v="2024-03-14T00:00:00"/>
        <d v="2024-06-25T00:00:00"/>
        <d v="2024-01-23T00:00:00"/>
        <d v="2024-09-15T00:00:00"/>
        <d v="2024-11-02T00:00:00"/>
        <d v="2024-08-09T00:00:00"/>
        <d v="2024-08-26T00:00:00"/>
        <d v="2024-05-15T00:00:00"/>
        <d v="2024-09-02T00:00:00"/>
        <d v="2024-12-02T00:00:00"/>
        <d v="2024-09-09T00:00:00"/>
        <d v="2024-03-11T00:00:00"/>
        <d v="2024-11-10T00:00:00"/>
        <d v="2024-04-27T00:00:00"/>
        <d v="2024-10-12T00:00:00"/>
        <d v="2024-12-10T00:00:00"/>
        <d v="2024-04-14T00:00:00"/>
        <d v="2024-04-11T00:00:00"/>
        <d v="2024-05-30T00:00:00"/>
        <d v="2024-12-08T00:00:00"/>
        <d v="2024-11-30T00:00:00"/>
        <d v="2024-01-07T00:00:00"/>
        <d v="2024-12-05T00:00:00"/>
        <d v="2024-02-08T00:00:00"/>
        <d v="2024-01-25T00:00:00"/>
        <d v="2024-10-11T00:00:00"/>
        <d v="2024-05-12T00:00:00"/>
        <d v="2024-03-26T00:00:00"/>
        <d v="2024-03-07T00:00:00"/>
        <d v="2024-05-18T00:00:00"/>
        <d v="2024-03-31T00:00:00"/>
        <d v="2024-07-02T00:00:00"/>
        <d v="2024-02-15T00:00:00"/>
        <d v="2024-05-04T00:00:00"/>
        <d v="2024-07-28T00:00:00"/>
        <d v="2024-08-16T00:00:00"/>
        <d v="2024-11-16T00:00:00"/>
        <d v="2024-06-11T00:00:00"/>
        <d v="2024-02-17T00:00:00"/>
        <d v="2024-01-22T00:00:00"/>
        <d v="2024-01-28T00:00:00"/>
        <d v="2024-12-15T00:00:00"/>
        <d v="2024-02-01T00:00:00"/>
        <d v="2024-09-13T00:00:00"/>
        <d v="2024-02-02T00:00:00"/>
        <d v="2024-01-24T00:00:00"/>
        <d v="2024-02-27T00:00:00"/>
        <d v="2024-07-09T00:00:00"/>
        <d v="2024-01-20T00:00:00"/>
        <d v="2024-10-24T00:00:00"/>
        <d v="2024-12-25T00:00:00"/>
        <d v="2024-12-17T00:00:00"/>
        <d v="2024-04-19T00:00:00"/>
        <d v="2024-08-21T00:00:00"/>
        <d v="2024-03-05T00:00:00"/>
        <d v="2024-04-12T00:00:00"/>
        <d v="2024-12-06T00:00:00"/>
        <d v="2024-04-21T00:00:00"/>
        <d v="2024-07-27T00:00:00"/>
        <d v="2024-03-23T00:00:00"/>
        <d v="2024-06-29T00:00:00"/>
        <d v="2024-07-20T00:00:00"/>
        <d v="2024-10-07T00:00:00"/>
        <d v="2024-03-08T00:00:00"/>
        <d v="2024-06-14T00:00:00"/>
        <d v="2024-02-18T00:00:00"/>
        <d v="2024-03-28T00:00:00"/>
        <d v="2024-04-06T00:00:00"/>
        <d v="2024-07-30T00:00:00"/>
        <d v="2024-12-28T00:00:00"/>
        <d v="2024-10-09T00:00:00"/>
        <d v="2024-11-22T00:00:00"/>
        <d v="2024-12-22T00:00:00"/>
        <d v="2024-08-20T00:00:00"/>
        <d v="2024-08-12T00:00:00"/>
        <d v="2024-03-20T00:00:00"/>
        <d v="2024-06-12T00:00:00"/>
        <d v="2024-06-06T00:00:00"/>
        <d v="2024-01-15T00:00:00"/>
        <d v="2024-05-20T00:00:00"/>
        <d v="2024-11-27T00:00:00"/>
        <d v="2024-08-17T00:00:00"/>
        <d v="2024-05-02T00:00:00"/>
        <d v="2024-01-26T00:00:00"/>
        <d v="2024-01-10T00:00:00"/>
        <d v="2024-06-19T00:00:00"/>
        <d v="2024-03-21T00:00:00"/>
        <d v="2024-02-22T00:00:00"/>
        <d v="2024-07-11T00:00:00"/>
        <d v="2024-11-12T00:00:00"/>
        <d v="2024-01-01T00:00:00"/>
        <d v="2024-05-29T00:00:00"/>
        <d v="2024-08-14T00:00:00"/>
        <d v="2024-12-12T00:00:00"/>
        <d v="2024-10-30T00:00:00"/>
        <d v="2024-04-02T00:00:00"/>
        <d v="2024-02-04T00:00:00"/>
        <d v="2024-09-28T00:00:00"/>
        <d v="2024-08-05T00:00:00"/>
        <d v="2024-09-01T00:00:00"/>
        <d v="2024-08-25T00:00:00"/>
        <d v="2024-02-03T00:00:00"/>
        <d v="2024-04-29T00:00:00"/>
        <d v="2024-08-04T00:00:00"/>
        <d v="2024-05-11T00:00:00"/>
        <d v="2024-01-31T00:00:00"/>
        <d v="2024-10-23T00:00:00"/>
        <d v="2024-01-14T00:00:00"/>
        <d v="2024-07-06T00:00:00"/>
        <d v="2024-04-03T00:00:00"/>
        <d v="2024-07-12T00:00:00"/>
        <d v="2024-05-13T00:00:00"/>
        <d v="2024-02-19T00:00:00"/>
        <d v="2024-12-11T00:00:00"/>
        <d v="2024-06-13T00:00:00"/>
        <d v="2024-03-04T00:00:00"/>
        <d v="2024-04-10T00:00:00"/>
        <d v="2024-10-10T00:00:00"/>
        <d v="2024-08-31T00:00:00"/>
        <d v="2024-05-27T00:00:00"/>
        <d v="2024-06-18T00:00:00"/>
        <d v="2024-11-23T00:00:00"/>
        <d v="2024-12-04T00:00:00"/>
        <d v="2024-08-11T00:00:00"/>
        <d v="2024-07-31T00:00:00"/>
        <d v="2024-03-22T00:00:00"/>
        <d v="2024-05-09T00:00:00"/>
        <d v="2024-07-10T00:00:00"/>
        <d v="2024-02-25T00:00:00"/>
        <d v="2024-11-08T00:00:00"/>
        <d v="2024-07-23T00:00:00"/>
        <d v="2024-12-26T00:00:00"/>
        <d v="2024-03-01T00:00:00"/>
        <d v="2024-08-23T00:00:00"/>
        <d v="2024-02-06T00:00:00"/>
        <d v="2024-12-20T00:00:00"/>
        <d v="2024-11-21T00:00:00"/>
        <d v="2024-06-16T00:00:00"/>
        <d v="2024-10-17T00:00:00"/>
        <d v="2024-04-30T00:00:00"/>
        <d v="2024-01-12T00:00:00"/>
        <d v="2024-12-30T00:00:00"/>
        <d v="2024-02-14T00:00:00"/>
        <d v="2024-11-03T00:00:00"/>
        <d v="2024-09-16T00:00:00"/>
        <d v="2024-08-06T00:00:00"/>
        <d v="2024-11-20T00:00:00"/>
        <d v="2024-03-12T00:00:00"/>
        <d v="2024-09-10T00:00:00"/>
        <d v="2024-09-07T00:00:00"/>
        <d v="2024-05-16T00:00:00"/>
        <d v="2024-08-28T00:00:00"/>
        <d v="2024-10-05T00:00:00"/>
        <d v="2024-09-26T00:00:00"/>
        <d v="2024-10-19T00:00:00"/>
        <d v="2024-01-30T00:00:00"/>
        <d v="2024-07-16T00:00:00"/>
        <d v="2024-08-15T00:00:00"/>
        <d v="2024-10-16T00:00:00"/>
        <d v="2024-05-03T00:00:00"/>
        <d v="2024-03-19T00:00:00"/>
        <d v="2024-01-08T00:00:00"/>
        <d v="2024-03-03T00:00:00"/>
        <d v="2024-11-07T00:00:00"/>
        <d v="2024-05-17T00:00:00"/>
        <d v="2024-07-21T00:00:00"/>
        <d v="2024-03-25T00:00:00"/>
        <d v="2024-09-11T00:00:00"/>
        <d v="2024-06-02T00:00:00"/>
        <d v="2024-01-13T00:00:00"/>
        <d v="2024-06-07T00:00:00"/>
        <d v="2024-02-21T00:00:00"/>
        <d v="2024-08-13T00:00:00"/>
        <d v="2024-07-05T00:00:00"/>
        <d v="2024-11-13T00:00:00"/>
        <d v="2024-11-09T00:00:00"/>
        <d v="2024-04-05T00:00:00"/>
        <d v="2024-02-16T00:00:00"/>
        <d v="2024-02-10T00:00:00"/>
        <d v="2024-01-04T00:00:00"/>
        <d v="2024-07-17T00:00:00"/>
        <d v="2024-10-26T00:00:00"/>
        <d v="2024-11-06T00:00:00"/>
        <d v="2024-08-07T00:00:00"/>
        <d v="2024-01-18T00:00:00"/>
        <d v="2024-07-19T00:00:00"/>
        <d v="2024-05-21T00:00:00"/>
        <d v="2024-01-19T00:00:00"/>
        <d v="2024-04-01T00:00:00"/>
        <d v="2024-03-15T00:00:00"/>
        <d v="2024-02-28T00:00:00"/>
        <d v="2024-01-09T00:00:00"/>
        <d v="2024-09-04T00:00:00"/>
        <d v="2024-11-28T00:00:00"/>
        <d v="2024-04-07T00:00:00"/>
        <d v="2024-11-05T00:00:00"/>
        <d v="2024-09-30T00:00:00"/>
        <d v="2024-06-28T00:00:00"/>
        <d v="2024-10-02T00:00:00"/>
        <d v="2024-03-16T00:00:00"/>
        <d v="2024-06-21T00:00:00"/>
        <d v="2024-06-03T00:00:00"/>
        <d v="2024-06-09T00:00:00"/>
        <d v="2024-07-01T00:00:00"/>
        <d v="2024-05-26T00:00:00"/>
        <d v="2024-05-06T00:00:00"/>
        <d v="2024-11-11T00:00:00"/>
        <d v="2024-07-24T00:00:00"/>
        <d v="2024-03-09T00:00:00"/>
        <d v="2024-06-22T00:00:00"/>
        <d v="2024-05-07T00:00:00"/>
        <d v="2024-06-20T00:00:00"/>
        <d v="2024-04-22T00:00:00"/>
        <d v="2024-06-04T00:00:00"/>
        <d v="2024-01-17T00:00:00"/>
        <d v="2024-01-21T00:00:00"/>
        <d v="2024-06-10T00:00:00"/>
        <d v="2024-07-07T00:00:00"/>
        <d v="2024-10-14T00:00:00"/>
        <d v="2024-04-17T00:00:00"/>
        <d v="2024-11-19T00:00:00"/>
        <d v="2024-08-03T00:00:00"/>
        <d v="2024-03-13T00:00:00"/>
        <d v="2024-02-09T00:00:00"/>
        <d v="2024-03-17T00:00:00"/>
        <d v="2024-12-13T00:00:00"/>
        <d v="2024-01-11T00:00:00"/>
        <d v="2024-03-06T00:00:00"/>
        <d v="2024-05-28T00:00:00"/>
        <d v="2024-11-24T00:00:00"/>
        <d v="2024-12-14T00:00:00"/>
        <d v="2024-04-04T00:00:00"/>
        <d v="2024-10-25T00:00:00"/>
        <d v="2024-05-25T00:00:00"/>
        <d v="2024-11-25T00:00:00"/>
        <d v="2024-06-26T00:00:00"/>
        <d v="2024-04-15T00:00:00"/>
        <d v="2024-08-19T00:00:00"/>
        <d v="2024-07-14T00:00:00"/>
        <d v="2024-05-19T00:00:00"/>
        <d v="2024-02-12T00:00:00"/>
        <d v="2024-12-16T00:00:00"/>
        <d v="2024-02-13T00:00:00"/>
        <d v="2024-07-22T00:00:00"/>
        <d v="2024-07-26T00:00:00"/>
        <d v="2024-08-30T00:00:00"/>
        <d v="2024-05-08T00:00:00"/>
        <d v="2024-09-06T00:00:00"/>
        <d v="2024-04-20T00:00:00"/>
        <d v="2024-06-01T00:00:00"/>
        <d v="2024-01-27T00:00:00"/>
        <d v="2024-11-15T00:00:00"/>
        <d v="2024-02-23T00:00:00"/>
        <d v="2024-03-02T00:00:00"/>
        <d v="2024-04-25T00:00:00"/>
        <d v="2024-10-01T00:00:00"/>
        <d v="2024-06-30T00:00:00"/>
        <d v="2024-02-26T00:00:00"/>
        <d v="2024-12-19T00:00:00"/>
        <d v="2024-08-27T00:00:00"/>
        <d v="2024-09-20T00:00:00"/>
        <d v="2024-01-05T00:00:00"/>
        <d v="2024-09-12T00:00:00"/>
        <d v="2024-12-07T00:00:00"/>
        <d v="2024-10-04T00:00:00"/>
        <d v="2024-09-08T00:00:00"/>
        <d v="2024-11-01T00:00:00"/>
        <d v="2024-08-29T00:00:00"/>
        <d v="2024-03-18T00:00:00"/>
        <d v="2024-07-03T00:00:00"/>
        <d v="2024-01-06T00:00:00"/>
        <d v="2024-04-28T00:00:00"/>
        <d v="2024-07-25T00:00:00"/>
        <d v="2024-12-09T00:00:00"/>
        <d v="2024-09-25T00:00:00"/>
        <d v="2024-10-03T00:00:00"/>
        <d v="2024-04-13T00:00:00"/>
        <d v="2024-07-13T00:00:00"/>
        <d v="2024-06-05T00:00:00"/>
        <d v="2024-02-29T00:00:00"/>
        <d v="2024-06-08T00:00:00"/>
        <d v="2024-08-02T00:00:00"/>
        <d v="2024-07-08T00:00:00"/>
        <d v="2024-12-03T00:00:00"/>
        <d v="2024-07-29T00:00:00"/>
        <d v="2024-05-01T00:00:00"/>
        <d v="2024-10-21T00:00:00"/>
        <d v="2024-06-15T00:00:00"/>
        <d v="2024-08-22T00:00:00"/>
        <d v="2024-05-24T00:00:00"/>
        <d v="2024-05-10T00:00:00"/>
        <d v="2024-10-29T00:00:00"/>
        <d v="2024-04-18T00:00:00"/>
        <d v="2024-05-23T00:00:00"/>
        <d v="2024-04-08T00:00:00"/>
        <d v="2024-11-04T00:00:00"/>
        <d v="2024-06-27T00:00:00"/>
        <d v="2024-12-18T00:00:00"/>
        <d v="2024-10-20T00:00:00"/>
        <d v="2024-11-29T00:00:00"/>
        <d v="2024-09-23T00:00:00"/>
        <d v="2024-04-23T00:00:00"/>
        <d v="2024-01-29T00:00:00"/>
        <d v="2024-03-29T00:00:00"/>
        <d v="2024-10-27T00:00:00"/>
        <d v="2024-09-29T00:00:00"/>
        <d v="2024-07-04T00:00:00"/>
        <d v="2024-04-24T00:00:00"/>
        <d v="2024-09-21T00:00:00"/>
        <d v="2024-05-14T00:00:00"/>
        <d v="2024-08-08T00:00:00"/>
        <d v="2024-11-26T00:00:00"/>
        <d v="2024-08-24T00:00:00"/>
        <d v="2024-06-23T00:00:00"/>
        <d v="2024-09-03T00:00:00"/>
        <d v="2024-01-16T00:00:00"/>
        <d v="2024-08-01T00:00:00"/>
        <d v="2024-07-18T00:00:00"/>
        <d v="2024-10-18T00:00:00"/>
        <d v="2024-11-17T00:00:00"/>
        <d v="2024-03-27T00:00:00"/>
        <d v="2024-01-03T00:00:00"/>
        <d v="2024-05-05T00:00:00"/>
        <d v="2024-12-21T00:00:00"/>
        <d v="2024-09-19T00:00:00"/>
        <d v="2024-09-14T00:00:00"/>
        <d v="2024-01-02T00:00:00"/>
      </sharedItems>
      <fieldGroup par="13"/>
    </cacheField>
    <cacheField name="Sales Person" numFmtId="0">
      <sharedItems count="5">
        <s v="Ali Kaya"/>
        <s v="Burak Yıldız"/>
        <s v="Ece Demir"/>
        <s v="Merve Aksoy"/>
        <s v="Can Yılmaz"/>
      </sharedItems>
    </cacheField>
    <cacheField name="Customer_Name" numFmtId="0">
      <sharedItems/>
    </cacheField>
    <cacheField name="Region" numFmtId="0">
      <sharedItems count="5">
        <s v="Akdeniz"/>
        <s v="Ege"/>
        <s v="Marmara"/>
        <s v="İç Anadolu"/>
        <s v="Karadeniz"/>
      </sharedItems>
    </cacheField>
    <cacheField name="Product" numFmtId="0">
      <sharedItems count="20">
        <s v="Table"/>
        <s v="Microwave"/>
        <s v="Phone"/>
        <s v="T-Shirt"/>
        <s v="Vacuum Cleaner"/>
        <s v="Bookshelf"/>
        <s v="Fitness Mat"/>
        <s v="Basketball"/>
        <s v="Jeans"/>
        <s v="Shoes"/>
        <s v="Blender"/>
        <s v="Tablet"/>
        <s v="Dumbbell"/>
        <s v="Desk"/>
        <s v="Air Fryer"/>
        <s v="Laptop"/>
        <s v="Running Shoes"/>
        <s v="Headphones"/>
        <s v="Chair"/>
        <s v="Jacket"/>
      </sharedItems>
    </cacheField>
    <cacheField name="Category" numFmtId="0">
      <sharedItems count="5">
        <s v="Furniture"/>
        <s v="Home Appliances"/>
        <s v="Technology"/>
        <s v="Clothing"/>
        <s v="Sports"/>
      </sharedItems>
    </cacheField>
    <cacheField name="Quantity" numFmtId="0">
      <sharedItems containsSemiMixedTypes="0" containsString="0" containsNumber="1" containsInteger="1" minValue="1" maxValue="10"/>
    </cacheField>
    <cacheField name="Unit_Price" numFmtId="164">
      <sharedItems containsSemiMixedTypes="0" containsString="0" containsNumber="1" containsInteger="1" minValue="308" maxValue="24947"/>
    </cacheField>
    <cacheField name="Unit_Cost" numFmtId="164">
      <sharedItems containsSemiMixedTypes="0" containsString="0" containsNumber="1" containsInteger="1" minValue="181" maxValue="19781"/>
    </cacheField>
    <cacheField name="Sales" numFmtId="164">
      <sharedItems containsSemiMixedTypes="0" containsString="0" containsNumber="1" containsInteger="1" minValue="356" maxValue="236440"/>
    </cacheField>
    <cacheField name="Profit" numFmtId="164">
      <sharedItems containsSemiMixedTypes="0" containsString="0" containsNumber="1" containsInteger="1" minValue="90" maxValue="101730"/>
    </cacheField>
    <cacheField name="Gün (Order_Date)" numFmtId="0" databaseField="0">
      <fieldGroup base="1">
        <rangePr groupBy="days" startDate="2024-01-01T00:00:00" endDate="2024-12-31T00:00:00"/>
        <groupItems count="368">
          <s v="&lt;1.01.2024"/>
          <s v="1.Oca"/>
          <s v="2.Oca"/>
          <s v="3.Oca"/>
          <s v="4.Oca"/>
          <s v="5.Oca"/>
          <s v="6.Oca"/>
          <s v="7.Oca"/>
          <s v="8.Oca"/>
          <s v="9.Oca"/>
          <s v="10.Oca"/>
          <s v="11.Oca"/>
          <s v="12.Oca"/>
          <s v="13.Oca"/>
          <s v="14.Oca"/>
          <s v="15.Oca"/>
          <s v="16.Oca"/>
          <s v="17.Oca"/>
          <s v="18.Oca"/>
          <s v="19.Oca"/>
          <s v="20.Oca"/>
          <s v="21.Oca"/>
          <s v="22.Oca"/>
          <s v="23.Oca"/>
          <s v="24.Oca"/>
          <s v="25.Oca"/>
          <s v="26.Oca"/>
          <s v="27.Oca"/>
          <s v="28.Oca"/>
          <s v="29.Oca"/>
          <s v="30.Oca"/>
          <s v="31.Oca"/>
          <s v="1.Şub"/>
          <s v="2.Şub"/>
          <s v="3.Şub"/>
          <s v="4.Şub"/>
          <s v="5.Şub"/>
          <s v="6.Şub"/>
          <s v="7.Şub"/>
          <s v="8.Şub"/>
          <s v="9.Şub"/>
          <s v="10.Şub"/>
          <s v="11.Şub"/>
          <s v="12.Şub"/>
          <s v="13.Şub"/>
          <s v="14.Şub"/>
          <s v="15.Şub"/>
          <s v="16.Şub"/>
          <s v="17.Şub"/>
          <s v="18.Şub"/>
          <s v="19.Şub"/>
          <s v="20.Şub"/>
          <s v="21.Şub"/>
          <s v="22.Şub"/>
          <s v="23.Şub"/>
          <s v="24.Şub"/>
          <s v="25.Şub"/>
          <s v="26.Şub"/>
          <s v="27.Şub"/>
          <s v="28.Şub"/>
          <s v="29.Şub"/>
          <s v="1.Mar"/>
          <s v="2.Mar"/>
          <s v="3.Mar"/>
          <s v="4.Mar"/>
          <s v="5.Mar"/>
          <s v="6.Mar"/>
          <s v="7.Mar"/>
          <s v="8.Mar"/>
          <s v="9.Mar"/>
          <s v="10.Mar"/>
          <s v="11.Mar"/>
          <s v="12.Mar"/>
          <s v="13.Mar"/>
          <s v="14.Mar"/>
          <s v="15.Mar"/>
          <s v="16.Mar"/>
          <s v="17.Mar"/>
          <s v="18.Mar"/>
          <s v="19.Mar"/>
          <s v="20.Mar"/>
          <s v="21.Mar"/>
          <s v="22.Mar"/>
          <s v="23.Mar"/>
          <s v="24.Mar"/>
          <s v="25.Mar"/>
          <s v="26.Mar"/>
          <s v="27.Mar"/>
          <s v="28.Mar"/>
          <s v="29.Mar"/>
          <s v="30.Mar"/>
          <s v="31.Mar"/>
          <s v="1.Nis"/>
          <s v="2.Nis"/>
          <s v="3.Nis"/>
          <s v="4.Nis"/>
          <s v="5.Nis"/>
          <s v="6.Nis"/>
          <s v="7.Nis"/>
          <s v="8.Nis"/>
          <s v="9.Nis"/>
          <s v="10.Nis"/>
          <s v="11.Nis"/>
          <s v="12.Nis"/>
          <s v="13.Nis"/>
          <s v="14.Nis"/>
          <s v="15.Nis"/>
          <s v="16.Nis"/>
          <s v="17.Nis"/>
          <s v="18.Nis"/>
          <s v="19.Nis"/>
          <s v="20.Nis"/>
          <s v="21.Nis"/>
          <s v="22.Nis"/>
          <s v="23.Nis"/>
          <s v="24.Nis"/>
          <s v="25.Nis"/>
          <s v="26.Nis"/>
          <s v="27.Nis"/>
          <s v="28.Nis"/>
          <s v="29.Nis"/>
          <s v="30.Nis"/>
          <s v="1.May"/>
          <s v="2.May"/>
          <s v="3.May"/>
          <s v="4.May"/>
          <s v="5.May"/>
          <s v="6.May"/>
          <s v="7.May"/>
          <s v="8.May"/>
          <s v="9.May"/>
          <s v="10.May"/>
          <s v="11.May"/>
          <s v="12.May"/>
          <s v="13.May"/>
          <s v="14.May"/>
          <s v="15.May"/>
          <s v="16.May"/>
          <s v="17.May"/>
          <s v="18.May"/>
          <s v="19.May"/>
          <s v="20.May"/>
          <s v="21.May"/>
          <s v="22.May"/>
          <s v="23.May"/>
          <s v="24.May"/>
          <s v="25.May"/>
          <s v="26.May"/>
          <s v="27.May"/>
          <s v="28.May"/>
          <s v="29.May"/>
          <s v="30.May"/>
          <s v="31.May"/>
          <s v="1.Haz"/>
          <s v="2.Haz"/>
          <s v="3.Haz"/>
          <s v="4.Haz"/>
          <s v="5.Haz"/>
          <s v="6.Haz"/>
          <s v="7.Haz"/>
          <s v="8.Haz"/>
          <s v="9.Haz"/>
          <s v="10.Haz"/>
          <s v="11.Haz"/>
          <s v="12.Haz"/>
          <s v="13.Haz"/>
          <s v="14.Haz"/>
          <s v="15.Haz"/>
          <s v="16.Haz"/>
          <s v="17.Haz"/>
          <s v="18.Haz"/>
          <s v="19.Haz"/>
          <s v="20.Haz"/>
          <s v="21.Haz"/>
          <s v="22.Haz"/>
          <s v="23.Haz"/>
          <s v="24.Haz"/>
          <s v="25.Haz"/>
          <s v="26.Haz"/>
          <s v="27.Haz"/>
          <s v="28.Haz"/>
          <s v="29.Haz"/>
          <s v="30.Haz"/>
          <s v="1.Tem"/>
          <s v="2.Tem"/>
          <s v="3.Tem"/>
          <s v="4.Tem"/>
          <s v="5.Tem"/>
          <s v="6.Tem"/>
          <s v="7.Tem"/>
          <s v="8.Tem"/>
          <s v="9.Tem"/>
          <s v="10.Tem"/>
          <s v="11.Tem"/>
          <s v="12.Tem"/>
          <s v="13.Tem"/>
          <s v="14.Tem"/>
          <s v="15.Tem"/>
          <s v="16.Tem"/>
          <s v="17.Tem"/>
          <s v="18.Tem"/>
          <s v="19.Tem"/>
          <s v="20.Tem"/>
          <s v="21.Tem"/>
          <s v="22.Tem"/>
          <s v="23.Tem"/>
          <s v="24.Tem"/>
          <s v="25.Tem"/>
          <s v="26.Tem"/>
          <s v="27.Tem"/>
          <s v="28.Tem"/>
          <s v="29.Tem"/>
          <s v="30.Tem"/>
          <s v="31.Tem"/>
          <s v="1.Ağu"/>
          <s v="2.Ağu"/>
          <s v="3.Ağu"/>
          <s v="4.Ağu"/>
          <s v="5.Ağu"/>
          <s v="6.Ağu"/>
          <s v="7.Ağu"/>
          <s v="8.Ağu"/>
          <s v="9.Ağu"/>
          <s v="10.Ağu"/>
          <s v="11.Ağu"/>
          <s v="12.Ağu"/>
          <s v="13.Ağu"/>
          <s v="14.Ağu"/>
          <s v="15.Ağu"/>
          <s v="16.Ağu"/>
          <s v="17.Ağu"/>
          <s v="18.Ağu"/>
          <s v="19.Ağu"/>
          <s v="20.Ağu"/>
          <s v="21.Ağu"/>
          <s v="22.Ağu"/>
          <s v="23.Ağu"/>
          <s v="24.Ağu"/>
          <s v="25.Ağu"/>
          <s v="26.Ağu"/>
          <s v="27.Ağu"/>
          <s v="28.Ağu"/>
          <s v="29.Ağu"/>
          <s v="30.Ağu"/>
          <s v="31.Ağu"/>
          <s v="1.Eyl"/>
          <s v="2.Eyl"/>
          <s v="3.Eyl"/>
          <s v="4.Eyl"/>
          <s v="5.Eyl"/>
          <s v="6.Eyl"/>
          <s v="7.Eyl"/>
          <s v="8.Eyl"/>
          <s v="9.Eyl"/>
          <s v="10.Eyl"/>
          <s v="11.Eyl"/>
          <s v="12.Eyl"/>
          <s v="13.Eyl"/>
          <s v="14.Eyl"/>
          <s v="15.Eyl"/>
          <s v="16.Eyl"/>
          <s v="17.Eyl"/>
          <s v="18.Eyl"/>
          <s v="19.Eyl"/>
          <s v="20.Eyl"/>
          <s v="21.Eyl"/>
          <s v="22.Eyl"/>
          <s v="23.Eyl"/>
          <s v="24.Eyl"/>
          <s v="25.Eyl"/>
          <s v="26.Eyl"/>
          <s v="27.Eyl"/>
          <s v="28.Eyl"/>
          <s v="29.Eyl"/>
          <s v="30.Eyl"/>
          <s v="1.Eki"/>
          <s v="2.Eki"/>
          <s v="3.Eki"/>
          <s v="4.Eki"/>
          <s v="5.Eki"/>
          <s v="6.Eki"/>
          <s v="7.Eki"/>
          <s v="8.Eki"/>
          <s v="9.Eki"/>
          <s v="10.Eki"/>
          <s v="11.Eki"/>
          <s v="12.Eki"/>
          <s v="13.Eki"/>
          <s v="14.Eki"/>
          <s v="15.Eki"/>
          <s v="16.Eki"/>
          <s v="17.Eki"/>
          <s v="18.Eki"/>
          <s v="19.Eki"/>
          <s v="20.Eki"/>
          <s v="21.Eki"/>
          <s v="22.Eki"/>
          <s v="23.Eki"/>
          <s v="24.Eki"/>
          <s v="25.Eki"/>
          <s v="26.Eki"/>
          <s v="27.Eki"/>
          <s v="28.Eki"/>
          <s v="29.Eki"/>
          <s v="30.Eki"/>
          <s v="31.Eki"/>
          <s v="1.Kas"/>
          <s v="2.Kas"/>
          <s v="3.Kas"/>
          <s v="4.Kas"/>
          <s v="5.Kas"/>
          <s v="6.Kas"/>
          <s v="7.Kas"/>
          <s v="8.Kas"/>
          <s v="9.Kas"/>
          <s v="10.Kas"/>
          <s v="11.Kas"/>
          <s v="12.Kas"/>
          <s v="13.Kas"/>
          <s v="14.Kas"/>
          <s v="15.Kas"/>
          <s v="16.Kas"/>
          <s v="17.Kas"/>
          <s v="18.Kas"/>
          <s v="19.Kas"/>
          <s v="20.Kas"/>
          <s v="21.Kas"/>
          <s v="22.Kas"/>
          <s v="23.Kas"/>
          <s v="24.Kas"/>
          <s v="25.Kas"/>
          <s v="26.Kas"/>
          <s v="27.Kas"/>
          <s v="28.Kas"/>
          <s v="29.Kas"/>
          <s v="30.Kas"/>
          <s v="1.Ara"/>
          <s v="2.Ara"/>
          <s v="3.Ara"/>
          <s v="4.Ara"/>
          <s v="5.Ara"/>
          <s v="6.Ara"/>
          <s v="7.Ara"/>
          <s v="8.Ara"/>
          <s v="9.Ara"/>
          <s v="10.Ara"/>
          <s v="11.Ara"/>
          <s v="12.Ara"/>
          <s v="13.Ara"/>
          <s v="14.Ara"/>
          <s v="15.Ara"/>
          <s v="16.Ara"/>
          <s v="17.Ara"/>
          <s v="18.Ara"/>
          <s v="19.Ara"/>
          <s v="20.Ara"/>
          <s v="21.Ara"/>
          <s v="22.Ara"/>
          <s v="23.Ara"/>
          <s v="24.Ara"/>
          <s v="25.Ara"/>
          <s v="26.Ara"/>
          <s v="27.Ara"/>
          <s v="28.Ara"/>
          <s v="29.Ara"/>
          <s v="30.Ara"/>
          <s v="31.Ara"/>
          <s v="&gt;31.12.2024"/>
        </groupItems>
      </fieldGroup>
    </cacheField>
    <cacheField name="Ay (Order_Date)" numFmtId="0" databaseField="0">
      <fieldGroup base="1">
        <rangePr groupBy="months" startDate="2024-01-01T00:00:00" endDate="2024-12-31T00:00:00"/>
        <groupItems count="14">
          <s v="&lt;1.01.2024"/>
          <s v="Oca"/>
          <s v="Şub"/>
          <s v="Mar"/>
          <s v="Nis"/>
          <s v="May"/>
          <s v="Haz"/>
          <s v="Tem"/>
          <s v="Ağu"/>
          <s v="Eyl"/>
          <s v="Eki"/>
          <s v="Kas"/>
          <s v="Ara"/>
          <s v="&gt;31.12.2024"/>
        </groupItems>
      </fieldGroup>
    </cacheField>
  </cacheFields>
  <extLst>
    <ext xmlns:x14="http://schemas.microsoft.com/office/spreadsheetml/2009/9/main" uri="{725AE2AE-9491-48be-B2B4-4EB974FC3084}">
      <x14:pivotCacheDefinition pivotCacheId="27682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x v="0"/>
    <s v="Elif Kaya"/>
    <x v="0"/>
    <x v="0"/>
    <x v="0"/>
    <n v="9"/>
    <n v="7451"/>
    <n v="5108"/>
    <n v="67059"/>
    <n v="21087"/>
  </r>
  <r>
    <n v="1002"/>
    <x v="1"/>
    <x v="1"/>
    <s v="Merve Şahin"/>
    <x v="1"/>
    <x v="1"/>
    <x v="1"/>
    <n v="8"/>
    <n v="4296"/>
    <n v="2460"/>
    <n v="34368"/>
    <n v="14688"/>
  </r>
  <r>
    <n v="1003"/>
    <x v="2"/>
    <x v="2"/>
    <s v="Merve Şahin"/>
    <x v="2"/>
    <x v="2"/>
    <x v="2"/>
    <n v="9"/>
    <n v="15990"/>
    <n v="12519"/>
    <n v="143910"/>
    <n v="31239"/>
  </r>
  <r>
    <n v="1004"/>
    <x v="3"/>
    <x v="3"/>
    <s v="Elif Kaya"/>
    <x v="1"/>
    <x v="3"/>
    <x v="3"/>
    <n v="1"/>
    <n v="2220"/>
    <n v="1307"/>
    <n v="2220"/>
    <n v="913"/>
  </r>
  <r>
    <n v="1005"/>
    <x v="4"/>
    <x v="1"/>
    <s v="Mehmet Kaya"/>
    <x v="2"/>
    <x v="4"/>
    <x v="1"/>
    <n v="8"/>
    <n v="1461"/>
    <n v="983"/>
    <n v="11688"/>
    <n v="3824"/>
  </r>
  <r>
    <n v="1006"/>
    <x v="5"/>
    <x v="0"/>
    <s v="Ahmet Yılmaz"/>
    <x v="3"/>
    <x v="5"/>
    <x v="0"/>
    <n v="10"/>
    <n v="6035"/>
    <n v="3088"/>
    <n v="60350"/>
    <n v="29470"/>
  </r>
  <r>
    <n v="1007"/>
    <x v="6"/>
    <x v="3"/>
    <s v="Can Arslan"/>
    <x v="1"/>
    <x v="6"/>
    <x v="4"/>
    <n v="6"/>
    <n v="6177"/>
    <n v="4663"/>
    <n v="37062"/>
    <n v="9084"/>
  </r>
  <r>
    <n v="1008"/>
    <x v="7"/>
    <x v="2"/>
    <s v="Ayşe Demir"/>
    <x v="3"/>
    <x v="3"/>
    <x v="3"/>
    <n v="1"/>
    <n v="2177"/>
    <n v="1106"/>
    <n v="2177"/>
    <n v="1071"/>
  </r>
  <r>
    <n v="1009"/>
    <x v="8"/>
    <x v="4"/>
    <s v="Zeynep Çelik"/>
    <x v="3"/>
    <x v="7"/>
    <x v="4"/>
    <n v="7"/>
    <n v="5079"/>
    <n v="3089"/>
    <n v="35553"/>
    <n v="13930"/>
  </r>
  <r>
    <n v="1010"/>
    <x v="9"/>
    <x v="1"/>
    <s v="Ayşe Demir"/>
    <x v="2"/>
    <x v="8"/>
    <x v="3"/>
    <n v="1"/>
    <n v="2976"/>
    <n v="2252"/>
    <n v="2976"/>
    <n v="724"/>
  </r>
  <r>
    <n v="1011"/>
    <x v="10"/>
    <x v="3"/>
    <s v="Ahmet Yılmaz"/>
    <x v="2"/>
    <x v="5"/>
    <x v="0"/>
    <n v="9"/>
    <n v="11555"/>
    <n v="7420"/>
    <n v="103995"/>
    <n v="37215"/>
  </r>
  <r>
    <n v="1012"/>
    <x v="11"/>
    <x v="1"/>
    <s v="Zeynep Çelik"/>
    <x v="3"/>
    <x v="8"/>
    <x v="3"/>
    <n v="5"/>
    <n v="865"/>
    <n v="505"/>
    <n v="4325"/>
    <n v="1800"/>
  </r>
  <r>
    <n v="1013"/>
    <x v="12"/>
    <x v="2"/>
    <s v="Elif Kaya"/>
    <x v="4"/>
    <x v="9"/>
    <x v="3"/>
    <n v="3"/>
    <n v="2485"/>
    <n v="1458"/>
    <n v="7455"/>
    <n v="3081"/>
  </r>
  <r>
    <n v="1014"/>
    <x v="13"/>
    <x v="0"/>
    <s v="Can Arslan"/>
    <x v="2"/>
    <x v="7"/>
    <x v="4"/>
    <n v="3"/>
    <n v="2731"/>
    <n v="1447"/>
    <n v="8193"/>
    <n v="3852"/>
  </r>
  <r>
    <n v="1015"/>
    <x v="14"/>
    <x v="0"/>
    <s v="Merve Şahin"/>
    <x v="0"/>
    <x v="7"/>
    <x v="4"/>
    <n v="1"/>
    <n v="5054"/>
    <n v="3204"/>
    <n v="5054"/>
    <n v="1850"/>
  </r>
  <r>
    <n v="1016"/>
    <x v="15"/>
    <x v="1"/>
    <s v="Can Arslan"/>
    <x v="2"/>
    <x v="10"/>
    <x v="1"/>
    <n v="5"/>
    <n v="2947"/>
    <n v="1847"/>
    <n v="14735"/>
    <n v="5500"/>
  </r>
  <r>
    <n v="1017"/>
    <x v="16"/>
    <x v="2"/>
    <s v="Emre Aydın"/>
    <x v="4"/>
    <x v="11"/>
    <x v="2"/>
    <n v="4"/>
    <n v="8690"/>
    <n v="5179"/>
    <n v="34760"/>
    <n v="14044"/>
  </r>
  <r>
    <n v="1018"/>
    <x v="17"/>
    <x v="3"/>
    <s v="Seda Yıldız"/>
    <x v="3"/>
    <x v="11"/>
    <x v="2"/>
    <n v="3"/>
    <n v="13929"/>
    <n v="10431"/>
    <n v="41787"/>
    <n v="10494"/>
  </r>
  <r>
    <n v="1019"/>
    <x v="18"/>
    <x v="1"/>
    <s v="Mehmet Kaya"/>
    <x v="0"/>
    <x v="7"/>
    <x v="4"/>
    <n v="9"/>
    <n v="4447"/>
    <n v="2665"/>
    <n v="40023"/>
    <n v="16038"/>
  </r>
  <r>
    <n v="1020"/>
    <x v="19"/>
    <x v="0"/>
    <s v="Burak Demir"/>
    <x v="1"/>
    <x v="12"/>
    <x v="4"/>
    <n v="4"/>
    <n v="1747"/>
    <n v="1031"/>
    <n v="6988"/>
    <n v="2864"/>
  </r>
  <r>
    <n v="1021"/>
    <x v="20"/>
    <x v="3"/>
    <s v="Emre Aydın"/>
    <x v="3"/>
    <x v="1"/>
    <x v="1"/>
    <n v="4"/>
    <n v="3779"/>
    <n v="2213"/>
    <n v="15116"/>
    <n v="6264"/>
  </r>
  <r>
    <n v="1022"/>
    <x v="21"/>
    <x v="2"/>
    <s v="Burak Demir"/>
    <x v="3"/>
    <x v="13"/>
    <x v="0"/>
    <n v="9"/>
    <n v="4768"/>
    <n v="2393"/>
    <n v="42912"/>
    <n v="21375"/>
  </r>
  <r>
    <n v="1023"/>
    <x v="22"/>
    <x v="4"/>
    <s v="Zeynep Çelik"/>
    <x v="2"/>
    <x v="3"/>
    <x v="3"/>
    <n v="1"/>
    <n v="356"/>
    <n v="266"/>
    <n v="356"/>
    <n v="90"/>
  </r>
  <r>
    <n v="1024"/>
    <x v="23"/>
    <x v="1"/>
    <s v="Ayşe Demir"/>
    <x v="1"/>
    <x v="1"/>
    <x v="1"/>
    <n v="3"/>
    <n v="3491"/>
    <n v="2490"/>
    <n v="10473"/>
    <n v="3003"/>
  </r>
  <r>
    <n v="1025"/>
    <x v="24"/>
    <x v="3"/>
    <s v="Emre Aydın"/>
    <x v="4"/>
    <x v="14"/>
    <x v="1"/>
    <n v="3"/>
    <n v="2769"/>
    <n v="2105"/>
    <n v="8307"/>
    <n v="1992"/>
  </r>
  <r>
    <n v="1026"/>
    <x v="25"/>
    <x v="1"/>
    <s v="Ahmet Yılmaz"/>
    <x v="0"/>
    <x v="8"/>
    <x v="3"/>
    <n v="8"/>
    <n v="3630"/>
    <n v="2014"/>
    <n v="29040"/>
    <n v="12928"/>
  </r>
  <r>
    <n v="1027"/>
    <x v="26"/>
    <x v="2"/>
    <s v="Ahmet Yılmaz"/>
    <x v="1"/>
    <x v="8"/>
    <x v="3"/>
    <n v="5"/>
    <n v="2109"/>
    <n v="1082"/>
    <n v="10545"/>
    <n v="5135"/>
  </r>
  <r>
    <n v="1028"/>
    <x v="27"/>
    <x v="0"/>
    <s v="Mehmet Kaya"/>
    <x v="1"/>
    <x v="11"/>
    <x v="2"/>
    <n v="1"/>
    <n v="10025"/>
    <n v="7531"/>
    <n v="10025"/>
    <n v="2494"/>
  </r>
  <r>
    <n v="1029"/>
    <x v="28"/>
    <x v="0"/>
    <s v="Ayşe Demir"/>
    <x v="2"/>
    <x v="4"/>
    <x v="1"/>
    <n v="2"/>
    <n v="5197"/>
    <n v="3866"/>
    <n v="10394"/>
    <n v="2662"/>
  </r>
  <r>
    <n v="1030"/>
    <x v="22"/>
    <x v="1"/>
    <s v="Ahmet Yılmaz"/>
    <x v="0"/>
    <x v="1"/>
    <x v="1"/>
    <n v="2"/>
    <n v="5388"/>
    <n v="3299"/>
    <n v="10776"/>
    <n v="4178"/>
  </r>
  <r>
    <n v="1031"/>
    <x v="29"/>
    <x v="2"/>
    <s v="Ayşe Demir"/>
    <x v="0"/>
    <x v="15"/>
    <x v="2"/>
    <n v="9"/>
    <n v="18667"/>
    <n v="12592"/>
    <n v="168003"/>
    <n v="54675"/>
  </r>
  <r>
    <n v="1032"/>
    <x v="30"/>
    <x v="3"/>
    <s v="Elif Kaya"/>
    <x v="0"/>
    <x v="4"/>
    <x v="1"/>
    <n v="3"/>
    <n v="7964"/>
    <n v="4454"/>
    <n v="23892"/>
    <n v="10530"/>
  </r>
  <r>
    <n v="1033"/>
    <x v="31"/>
    <x v="1"/>
    <s v="Burak Demir"/>
    <x v="0"/>
    <x v="16"/>
    <x v="4"/>
    <n v="10"/>
    <n v="2918"/>
    <n v="1540"/>
    <n v="29180"/>
    <n v="13780"/>
  </r>
  <r>
    <n v="1034"/>
    <x v="32"/>
    <x v="0"/>
    <s v="Burak Demir"/>
    <x v="1"/>
    <x v="7"/>
    <x v="4"/>
    <n v="9"/>
    <n v="4768"/>
    <n v="3595"/>
    <n v="42912"/>
    <n v="10557"/>
  </r>
  <r>
    <n v="1035"/>
    <x v="33"/>
    <x v="3"/>
    <s v="Seda Yıldız"/>
    <x v="2"/>
    <x v="17"/>
    <x v="2"/>
    <n v="2"/>
    <n v="17181"/>
    <n v="13578"/>
    <n v="34362"/>
    <n v="7206"/>
  </r>
  <r>
    <n v="1036"/>
    <x v="34"/>
    <x v="2"/>
    <s v="Emre Aydın"/>
    <x v="4"/>
    <x v="9"/>
    <x v="3"/>
    <n v="2"/>
    <n v="1036"/>
    <n v="711"/>
    <n v="2072"/>
    <n v="650"/>
  </r>
  <r>
    <n v="1037"/>
    <x v="27"/>
    <x v="4"/>
    <s v="Merve Şahin"/>
    <x v="3"/>
    <x v="17"/>
    <x v="2"/>
    <n v="4"/>
    <n v="24947"/>
    <n v="15056"/>
    <n v="99788"/>
    <n v="39564"/>
  </r>
  <r>
    <n v="1038"/>
    <x v="35"/>
    <x v="1"/>
    <s v="Mehmet Kaya"/>
    <x v="3"/>
    <x v="18"/>
    <x v="0"/>
    <n v="2"/>
    <n v="9524"/>
    <n v="5829"/>
    <n v="19048"/>
    <n v="7390"/>
  </r>
  <r>
    <n v="1039"/>
    <x v="36"/>
    <x v="3"/>
    <s v="Burak Demir"/>
    <x v="2"/>
    <x v="3"/>
    <x v="3"/>
    <n v="5"/>
    <n v="2567"/>
    <n v="1333"/>
    <n v="12835"/>
    <n v="6170"/>
  </r>
  <r>
    <n v="1040"/>
    <x v="37"/>
    <x v="1"/>
    <s v="Ayşe Demir"/>
    <x v="0"/>
    <x v="2"/>
    <x v="2"/>
    <n v="8"/>
    <n v="12577"/>
    <n v="8263"/>
    <n v="100616"/>
    <n v="34512"/>
  </r>
  <r>
    <n v="1041"/>
    <x v="38"/>
    <x v="2"/>
    <s v="Mehmet Kaya"/>
    <x v="1"/>
    <x v="16"/>
    <x v="4"/>
    <n v="6"/>
    <n v="985"/>
    <n v="621"/>
    <n v="5910"/>
    <n v="2184"/>
  </r>
  <r>
    <n v="1042"/>
    <x v="39"/>
    <x v="0"/>
    <s v="Emre Aydın"/>
    <x v="1"/>
    <x v="17"/>
    <x v="2"/>
    <n v="4"/>
    <n v="22045"/>
    <n v="15075"/>
    <n v="88180"/>
    <n v="27880"/>
  </r>
  <r>
    <n v="1043"/>
    <x v="40"/>
    <x v="0"/>
    <s v="Burak Demir"/>
    <x v="4"/>
    <x v="11"/>
    <x v="2"/>
    <n v="4"/>
    <n v="18645"/>
    <n v="11741"/>
    <n v="74580"/>
    <n v="27616"/>
  </r>
  <r>
    <n v="1044"/>
    <x v="41"/>
    <x v="1"/>
    <s v="Mehmet Kaya"/>
    <x v="2"/>
    <x v="5"/>
    <x v="0"/>
    <n v="5"/>
    <n v="7267"/>
    <n v="5491"/>
    <n v="36335"/>
    <n v="8880"/>
  </r>
  <r>
    <n v="1045"/>
    <x v="42"/>
    <x v="2"/>
    <s v="Can Arslan"/>
    <x v="2"/>
    <x v="1"/>
    <x v="1"/>
    <n v="4"/>
    <n v="2357"/>
    <n v="1433"/>
    <n v="9428"/>
    <n v="3696"/>
  </r>
  <r>
    <n v="1046"/>
    <x v="43"/>
    <x v="3"/>
    <s v="Merve Şahin"/>
    <x v="4"/>
    <x v="11"/>
    <x v="2"/>
    <n v="8"/>
    <n v="18817"/>
    <n v="13821"/>
    <n v="150536"/>
    <n v="39968"/>
  </r>
  <r>
    <n v="1047"/>
    <x v="44"/>
    <x v="1"/>
    <s v="Ayşe Demir"/>
    <x v="1"/>
    <x v="14"/>
    <x v="1"/>
    <n v="6"/>
    <n v="3563"/>
    <n v="2583"/>
    <n v="21378"/>
    <n v="5880"/>
  </r>
  <r>
    <n v="1048"/>
    <x v="45"/>
    <x v="0"/>
    <s v="Can Arslan"/>
    <x v="0"/>
    <x v="4"/>
    <x v="1"/>
    <n v="3"/>
    <n v="1296"/>
    <n v="736"/>
    <n v="3888"/>
    <n v="1680"/>
  </r>
  <r>
    <n v="1049"/>
    <x v="46"/>
    <x v="3"/>
    <s v="Zeynep Çelik"/>
    <x v="4"/>
    <x v="9"/>
    <x v="3"/>
    <n v="9"/>
    <n v="2202"/>
    <n v="1226"/>
    <n v="19818"/>
    <n v="8784"/>
  </r>
  <r>
    <n v="1050"/>
    <x v="47"/>
    <x v="2"/>
    <s v="Can Arslan"/>
    <x v="0"/>
    <x v="14"/>
    <x v="1"/>
    <n v="7"/>
    <n v="7722"/>
    <n v="6055"/>
    <n v="54054"/>
    <n v="11669"/>
  </r>
  <r>
    <n v="1051"/>
    <x v="48"/>
    <x v="4"/>
    <s v="Can Arslan"/>
    <x v="0"/>
    <x v="6"/>
    <x v="4"/>
    <n v="4"/>
    <n v="4874"/>
    <n v="3240"/>
    <n v="19496"/>
    <n v="6536"/>
  </r>
  <r>
    <n v="1052"/>
    <x v="49"/>
    <x v="1"/>
    <s v="Elif Kaya"/>
    <x v="3"/>
    <x v="11"/>
    <x v="2"/>
    <n v="7"/>
    <n v="18465"/>
    <n v="12428"/>
    <n v="129255"/>
    <n v="42259"/>
  </r>
  <r>
    <n v="1053"/>
    <x v="50"/>
    <x v="3"/>
    <s v="Burak Demir"/>
    <x v="4"/>
    <x v="3"/>
    <x v="3"/>
    <n v="5"/>
    <n v="2322"/>
    <n v="1605"/>
    <n v="11610"/>
    <n v="3585"/>
  </r>
  <r>
    <n v="1054"/>
    <x v="51"/>
    <x v="1"/>
    <s v="Mehmet Kaya"/>
    <x v="1"/>
    <x v="13"/>
    <x v="0"/>
    <n v="1"/>
    <n v="5052"/>
    <n v="3981"/>
    <n v="5052"/>
    <n v="1071"/>
  </r>
  <r>
    <n v="1055"/>
    <x v="52"/>
    <x v="2"/>
    <s v="Seda Yıldız"/>
    <x v="0"/>
    <x v="8"/>
    <x v="3"/>
    <n v="9"/>
    <n v="3863"/>
    <n v="2775"/>
    <n v="34767"/>
    <n v="9792"/>
  </r>
  <r>
    <n v="1056"/>
    <x v="12"/>
    <x v="0"/>
    <s v="Burak Demir"/>
    <x v="1"/>
    <x v="5"/>
    <x v="0"/>
    <n v="4"/>
    <n v="5204"/>
    <n v="3532"/>
    <n v="20816"/>
    <n v="6688"/>
  </r>
  <r>
    <n v="1057"/>
    <x v="53"/>
    <x v="0"/>
    <s v="Ahmet Yılmaz"/>
    <x v="4"/>
    <x v="13"/>
    <x v="0"/>
    <n v="4"/>
    <n v="2146"/>
    <n v="1463"/>
    <n v="8584"/>
    <n v="2732"/>
  </r>
  <r>
    <n v="1058"/>
    <x v="54"/>
    <x v="1"/>
    <s v="Merve Şahin"/>
    <x v="0"/>
    <x v="12"/>
    <x v="4"/>
    <n v="5"/>
    <n v="502"/>
    <n v="384"/>
    <n v="2510"/>
    <n v="590"/>
  </r>
  <r>
    <n v="1059"/>
    <x v="55"/>
    <x v="2"/>
    <s v="Elif Kaya"/>
    <x v="4"/>
    <x v="19"/>
    <x v="3"/>
    <n v="6"/>
    <n v="3218"/>
    <n v="1916"/>
    <n v="19308"/>
    <n v="7812"/>
  </r>
  <r>
    <n v="1060"/>
    <x v="56"/>
    <x v="3"/>
    <s v="Seda Yıldız"/>
    <x v="0"/>
    <x v="17"/>
    <x v="2"/>
    <n v="8"/>
    <n v="9300"/>
    <n v="5161"/>
    <n v="74400"/>
    <n v="33112"/>
  </r>
  <r>
    <n v="1061"/>
    <x v="57"/>
    <x v="1"/>
    <s v="Zeynep Çelik"/>
    <x v="4"/>
    <x v="18"/>
    <x v="0"/>
    <n v="8"/>
    <n v="1638"/>
    <n v="1243"/>
    <n v="13104"/>
    <n v="3160"/>
  </r>
  <r>
    <n v="1062"/>
    <x v="58"/>
    <x v="0"/>
    <s v="Ayşe Demir"/>
    <x v="4"/>
    <x v="10"/>
    <x v="1"/>
    <n v="3"/>
    <n v="6638"/>
    <n v="3857"/>
    <n v="19914"/>
    <n v="8343"/>
  </r>
  <r>
    <n v="1063"/>
    <x v="59"/>
    <x v="3"/>
    <s v="Ayşe Demir"/>
    <x v="0"/>
    <x v="5"/>
    <x v="0"/>
    <n v="10"/>
    <n v="5438"/>
    <n v="3220"/>
    <n v="54380"/>
    <n v="22180"/>
  </r>
  <r>
    <n v="1064"/>
    <x v="60"/>
    <x v="2"/>
    <s v="Emre Aydın"/>
    <x v="4"/>
    <x v="13"/>
    <x v="0"/>
    <n v="9"/>
    <n v="5325"/>
    <n v="2807"/>
    <n v="47925"/>
    <n v="22662"/>
  </r>
  <r>
    <n v="1065"/>
    <x v="61"/>
    <x v="4"/>
    <s v="Elif Kaya"/>
    <x v="2"/>
    <x v="19"/>
    <x v="3"/>
    <n v="8"/>
    <n v="2292"/>
    <n v="1428"/>
    <n v="18336"/>
    <n v="6912"/>
  </r>
  <r>
    <n v="1066"/>
    <x v="62"/>
    <x v="1"/>
    <s v="Seda Yıldız"/>
    <x v="0"/>
    <x v="2"/>
    <x v="2"/>
    <n v="5"/>
    <n v="15515"/>
    <n v="11889"/>
    <n v="77575"/>
    <n v="18130"/>
  </r>
  <r>
    <n v="1067"/>
    <x v="33"/>
    <x v="3"/>
    <s v="Zeynep Çelik"/>
    <x v="4"/>
    <x v="11"/>
    <x v="2"/>
    <n v="7"/>
    <n v="6622"/>
    <n v="5020"/>
    <n v="46354"/>
    <n v="11214"/>
  </r>
  <r>
    <n v="1068"/>
    <x v="63"/>
    <x v="1"/>
    <s v="Ahmet Yılmaz"/>
    <x v="4"/>
    <x v="11"/>
    <x v="2"/>
    <n v="9"/>
    <n v="9948"/>
    <n v="7219"/>
    <n v="89532"/>
    <n v="24561"/>
  </r>
  <r>
    <n v="1069"/>
    <x v="64"/>
    <x v="2"/>
    <s v="Merve Şahin"/>
    <x v="0"/>
    <x v="13"/>
    <x v="0"/>
    <n v="8"/>
    <n v="3275"/>
    <n v="1826"/>
    <n v="26200"/>
    <n v="11592"/>
  </r>
  <r>
    <n v="1070"/>
    <x v="65"/>
    <x v="0"/>
    <s v="Ahmet Yılmaz"/>
    <x v="0"/>
    <x v="8"/>
    <x v="3"/>
    <n v="6"/>
    <n v="2775"/>
    <n v="2211"/>
    <n v="16650"/>
    <n v="3384"/>
  </r>
  <r>
    <n v="1071"/>
    <x v="66"/>
    <x v="0"/>
    <s v="Mehmet Kaya"/>
    <x v="4"/>
    <x v="5"/>
    <x v="0"/>
    <n v="9"/>
    <n v="10226"/>
    <n v="5493"/>
    <n v="92034"/>
    <n v="42597"/>
  </r>
  <r>
    <n v="1072"/>
    <x v="67"/>
    <x v="1"/>
    <s v="Seda Yıldız"/>
    <x v="3"/>
    <x v="1"/>
    <x v="1"/>
    <n v="9"/>
    <n v="6833"/>
    <n v="3925"/>
    <n v="61497"/>
    <n v="26172"/>
  </r>
  <r>
    <n v="1073"/>
    <x v="68"/>
    <x v="2"/>
    <s v="Elif Kaya"/>
    <x v="4"/>
    <x v="5"/>
    <x v="0"/>
    <n v="6"/>
    <n v="11638"/>
    <n v="6608"/>
    <n v="69828"/>
    <n v="30180"/>
  </r>
  <r>
    <n v="1074"/>
    <x v="69"/>
    <x v="3"/>
    <s v="Seda Yıldız"/>
    <x v="1"/>
    <x v="11"/>
    <x v="2"/>
    <n v="10"/>
    <n v="18373"/>
    <n v="10927"/>
    <n v="183730"/>
    <n v="74460"/>
  </r>
  <r>
    <n v="1075"/>
    <x v="12"/>
    <x v="1"/>
    <s v="Burak Demir"/>
    <x v="0"/>
    <x v="19"/>
    <x v="3"/>
    <n v="5"/>
    <n v="1968"/>
    <n v="1024"/>
    <n v="9840"/>
    <n v="4720"/>
  </r>
  <r>
    <n v="1076"/>
    <x v="70"/>
    <x v="0"/>
    <s v="Can Arslan"/>
    <x v="4"/>
    <x v="16"/>
    <x v="4"/>
    <n v="10"/>
    <n v="2929"/>
    <n v="2207"/>
    <n v="29290"/>
    <n v="7220"/>
  </r>
  <r>
    <n v="1077"/>
    <x v="71"/>
    <x v="3"/>
    <s v="Merve Şahin"/>
    <x v="0"/>
    <x v="8"/>
    <x v="3"/>
    <n v="10"/>
    <n v="1232"/>
    <n v="696"/>
    <n v="12320"/>
    <n v="5360"/>
  </r>
  <r>
    <n v="1078"/>
    <x v="72"/>
    <x v="2"/>
    <s v="Emre Aydın"/>
    <x v="4"/>
    <x v="3"/>
    <x v="3"/>
    <n v="4"/>
    <n v="3391"/>
    <n v="2258"/>
    <n v="13564"/>
    <n v="4532"/>
  </r>
  <r>
    <n v="1079"/>
    <x v="73"/>
    <x v="4"/>
    <s v="Seda Yıldız"/>
    <x v="2"/>
    <x v="9"/>
    <x v="3"/>
    <n v="3"/>
    <n v="1488"/>
    <n v="832"/>
    <n v="4464"/>
    <n v="1968"/>
  </r>
  <r>
    <n v="1080"/>
    <x v="74"/>
    <x v="1"/>
    <s v="Ayşe Demir"/>
    <x v="4"/>
    <x v="15"/>
    <x v="2"/>
    <n v="3"/>
    <n v="9469"/>
    <n v="4950"/>
    <n v="28407"/>
    <n v="13557"/>
  </r>
  <r>
    <n v="1081"/>
    <x v="75"/>
    <x v="3"/>
    <s v="Elif Kaya"/>
    <x v="1"/>
    <x v="9"/>
    <x v="3"/>
    <n v="6"/>
    <n v="3538"/>
    <n v="2717"/>
    <n v="21228"/>
    <n v="4926"/>
  </r>
  <r>
    <n v="1082"/>
    <x v="76"/>
    <x v="1"/>
    <s v="Zeynep Çelik"/>
    <x v="1"/>
    <x v="2"/>
    <x v="2"/>
    <n v="6"/>
    <n v="6142"/>
    <n v="4285"/>
    <n v="36852"/>
    <n v="11142"/>
  </r>
  <r>
    <n v="1083"/>
    <x v="77"/>
    <x v="2"/>
    <s v="Ahmet Yılmaz"/>
    <x v="4"/>
    <x v="19"/>
    <x v="3"/>
    <n v="2"/>
    <n v="3293"/>
    <n v="2503"/>
    <n v="6586"/>
    <n v="1580"/>
  </r>
  <r>
    <n v="1084"/>
    <x v="78"/>
    <x v="0"/>
    <s v="Burak Demir"/>
    <x v="4"/>
    <x v="15"/>
    <x v="2"/>
    <n v="5"/>
    <n v="9818"/>
    <n v="6013"/>
    <n v="49090"/>
    <n v="19025"/>
  </r>
  <r>
    <n v="1085"/>
    <x v="79"/>
    <x v="0"/>
    <s v="Emre Aydın"/>
    <x v="3"/>
    <x v="12"/>
    <x v="4"/>
    <n v="9"/>
    <n v="2072"/>
    <n v="1580"/>
    <n v="18648"/>
    <n v="4428"/>
  </r>
  <r>
    <n v="1086"/>
    <x v="80"/>
    <x v="1"/>
    <s v="Ayşe Demir"/>
    <x v="0"/>
    <x v="13"/>
    <x v="0"/>
    <n v="6"/>
    <n v="9805"/>
    <n v="6634"/>
    <n v="58830"/>
    <n v="19026"/>
  </r>
  <r>
    <n v="1087"/>
    <x v="81"/>
    <x v="2"/>
    <s v="Burak Demir"/>
    <x v="4"/>
    <x v="9"/>
    <x v="3"/>
    <n v="6"/>
    <n v="3002"/>
    <n v="2202"/>
    <n v="18012"/>
    <n v="4800"/>
  </r>
  <r>
    <n v="1088"/>
    <x v="82"/>
    <x v="3"/>
    <s v="Ayşe Demir"/>
    <x v="0"/>
    <x v="3"/>
    <x v="3"/>
    <n v="2"/>
    <n v="1105"/>
    <n v="624"/>
    <n v="2210"/>
    <n v="962"/>
  </r>
  <r>
    <n v="1089"/>
    <x v="83"/>
    <x v="1"/>
    <s v="Burak Demir"/>
    <x v="0"/>
    <x v="15"/>
    <x v="2"/>
    <n v="9"/>
    <n v="8515"/>
    <n v="4605"/>
    <n v="76635"/>
    <n v="35190"/>
  </r>
  <r>
    <n v="1090"/>
    <x v="84"/>
    <x v="0"/>
    <s v="Emre Aydın"/>
    <x v="4"/>
    <x v="9"/>
    <x v="3"/>
    <n v="1"/>
    <n v="3223"/>
    <n v="2234"/>
    <n v="3223"/>
    <n v="989"/>
  </r>
  <r>
    <n v="1091"/>
    <x v="85"/>
    <x v="3"/>
    <s v="Burak Demir"/>
    <x v="0"/>
    <x v="4"/>
    <x v="1"/>
    <n v="3"/>
    <n v="4289"/>
    <n v="2761"/>
    <n v="12867"/>
    <n v="4584"/>
  </r>
  <r>
    <n v="1092"/>
    <x v="86"/>
    <x v="2"/>
    <s v="Seda Yıldız"/>
    <x v="0"/>
    <x v="16"/>
    <x v="4"/>
    <n v="7"/>
    <n v="4616"/>
    <n v="3067"/>
    <n v="32312"/>
    <n v="10843"/>
  </r>
  <r>
    <n v="1093"/>
    <x v="86"/>
    <x v="4"/>
    <s v="Ayşe Demir"/>
    <x v="2"/>
    <x v="10"/>
    <x v="1"/>
    <n v="5"/>
    <n v="2008"/>
    <n v="1243"/>
    <n v="10040"/>
    <n v="3825"/>
  </r>
  <r>
    <n v="1094"/>
    <x v="87"/>
    <x v="1"/>
    <s v="Ayşe Demir"/>
    <x v="2"/>
    <x v="10"/>
    <x v="1"/>
    <n v="10"/>
    <n v="6696"/>
    <n v="4884"/>
    <n v="66960"/>
    <n v="18120"/>
  </r>
  <r>
    <n v="1095"/>
    <x v="88"/>
    <x v="3"/>
    <s v="Ayşe Demir"/>
    <x v="4"/>
    <x v="3"/>
    <x v="3"/>
    <n v="2"/>
    <n v="575"/>
    <n v="339"/>
    <n v="1150"/>
    <n v="472"/>
  </r>
  <r>
    <n v="1096"/>
    <x v="89"/>
    <x v="1"/>
    <s v="Merve Şahin"/>
    <x v="1"/>
    <x v="14"/>
    <x v="1"/>
    <n v="10"/>
    <n v="3285"/>
    <n v="1860"/>
    <n v="32850"/>
    <n v="14250"/>
  </r>
  <r>
    <n v="1097"/>
    <x v="90"/>
    <x v="2"/>
    <s v="Can Arslan"/>
    <x v="4"/>
    <x v="0"/>
    <x v="0"/>
    <n v="4"/>
    <n v="11934"/>
    <n v="8900"/>
    <n v="47736"/>
    <n v="12136"/>
  </r>
  <r>
    <n v="1098"/>
    <x v="91"/>
    <x v="0"/>
    <s v="Seda Yıldız"/>
    <x v="2"/>
    <x v="1"/>
    <x v="1"/>
    <n v="8"/>
    <n v="5025"/>
    <n v="2724"/>
    <n v="40200"/>
    <n v="18408"/>
  </r>
  <r>
    <n v="1099"/>
    <x v="92"/>
    <x v="0"/>
    <s v="Emre Aydın"/>
    <x v="4"/>
    <x v="6"/>
    <x v="4"/>
    <n v="10"/>
    <n v="724"/>
    <n v="432"/>
    <n v="7240"/>
    <n v="2920"/>
  </r>
  <r>
    <n v="1100"/>
    <x v="92"/>
    <x v="1"/>
    <s v="Zeynep Çelik"/>
    <x v="0"/>
    <x v="3"/>
    <x v="3"/>
    <n v="4"/>
    <n v="335"/>
    <n v="249"/>
    <n v="1340"/>
    <n v="344"/>
  </r>
  <r>
    <n v="1101"/>
    <x v="93"/>
    <x v="2"/>
    <s v="Ahmet Yılmaz"/>
    <x v="0"/>
    <x v="3"/>
    <x v="3"/>
    <n v="1"/>
    <n v="3682"/>
    <n v="2501"/>
    <n v="3682"/>
    <n v="1181"/>
  </r>
  <r>
    <n v="1102"/>
    <x v="94"/>
    <x v="3"/>
    <s v="Burak Demir"/>
    <x v="0"/>
    <x v="18"/>
    <x v="0"/>
    <n v="1"/>
    <n v="4788"/>
    <n v="2717"/>
    <n v="4788"/>
    <n v="2071"/>
  </r>
  <r>
    <n v="1103"/>
    <x v="95"/>
    <x v="1"/>
    <s v="Emre Aydın"/>
    <x v="3"/>
    <x v="8"/>
    <x v="3"/>
    <n v="7"/>
    <n v="2539"/>
    <n v="1317"/>
    <n v="17773"/>
    <n v="8554"/>
  </r>
  <r>
    <n v="1104"/>
    <x v="47"/>
    <x v="0"/>
    <s v="Can Arslan"/>
    <x v="3"/>
    <x v="0"/>
    <x v="0"/>
    <n v="4"/>
    <n v="10857"/>
    <n v="7876"/>
    <n v="43428"/>
    <n v="11924"/>
  </r>
  <r>
    <n v="1105"/>
    <x v="96"/>
    <x v="3"/>
    <s v="Can Arslan"/>
    <x v="1"/>
    <x v="19"/>
    <x v="3"/>
    <n v="3"/>
    <n v="3555"/>
    <n v="2737"/>
    <n v="10665"/>
    <n v="2454"/>
  </r>
  <r>
    <n v="1106"/>
    <x v="56"/>
    <x v="2"/>
    <s v="Seda Yıldız"/>
    <x v="4"/>
    <x v="11"/>
    <x v="2"/>
    <n v="10"/>
    <n v="6130"/>
    <n v="3323"/>
    <n v="61300"/>
    <n v="28070"/>
  </r>
  <r>
    <n v="1107"/>
    <x v="97"/>
    <x v="4"/>
    <s v="Ahmet Yılmaz"/>
    <x v="4"/>
    <x v="4"/>
    <x v="1"/>
    <n v="2"/>
    <n v="7642"/>
    <n v="4812"/>
    <n v="15284"/>
    <n v="5660"/>
  </r>
  <r>
    <n v="1108"/>
    <x v="33"/>
    <x v="1"/>
    <s v="Can Arslan"/>
    <x v="3"/>
    <x v="10"/>
    <x v="1"/>
    <n v="9"/>
    <n v="7445"/>
    <n v="5306"/>
    <n v="67005"/>
    <n v="19251"/>
  </r>
  <r>
    <n v="1109"/>
    <x v="68"/>
    <x v="3"/>
    <s v="Mehmet Kaya"/>
    <x v="1"/>
    <x v="11"/>
    <x v="2"/>
    <n v="3"/>
    <n v="23152"/>
    <n v="17873"/>
    <n v="69456"/>
    <n v="15837"/>
  </r>
  <r>
    <n v="1110"/>
    <x v="98"/>
    <x v="1"/>
    <s v="Emre Aydın"/>
    <x v="1"/>
    <x v="18"/>
    <x v="0"/>
    <n v="2"/>
    <n v="5826"/>
    <n v="3697"/>
    <n v="11652"/>
    <n v="4258"/>
  </r>
  <r>
    <n v="1111"/>
    <x v="62"/>
    <x v="2"/>
    <s v="Burak Demir"/>
    <x v="3"/>
    <x v="1"/>
    <x v="1"/>
    <n v="3"/>
    <n v="7623"/>
    <n v="5615"/>
    <n v="22869"/>
    <n v="6024"/>
  </r>
  <r>
    <n v="1112"/>
    <x v="99"/>
    <x v="0"/>
    <s v="Merve Şahin"/>
    <x v="0"/>
    <x v="15"/>
    <x v="2"/>
    <n v="1"/>
    <n v="6870"/>
    <n v="5138"/>
    <n v="6870"/>
    <n v="1732"/>
  </r>
  <r>
    <n v="1113"/>
    <x v="4"/>
    <x v="0"/>
    <s v="Seda Yıldız"/>
    <x v="1"/>
    <x v="19"/>
    <x v="3"/>
    <n v="5"/>
    <n v="3559"/>
    <n v="2697"/>
    <n v="17795"/>
    <n v="4310"/>
  </r>
  <r>
    <n v="1114"/>
    <x v="30"/>
    <x v="1"/>
    <s v="Can Arslan"/>
    <x v="1"/>
    <x v="0"/>
    <x v="0"/>
    <n v="8"/>
    <n v="3692"/>
    <n v="2137"/>
    <n v="29536"/>
    <n v="12440"/>
  </r>
  <r>
    <n v="1115"/>
    <x v="100"/>
    <x v="2"/>
    <s v="Merve Şahin"/>
    <x v="0"/>
    <x v="10"/>
    <x v="1"/>
    <n v="4"/>
    <n v="3111"/>
    <n v="2102"/>
    <n v="12444"/>
    <n v="4036"/>
  </r>
  <r>
    <n v="1116"/>
    <x v="101"/>
    <x v="3"/>
    <s v="Merve Şahin"/>
    <x v="4"/>
    <x v="14"/>
    <x v="1"/>
    <n v="8"/>
    <n v="6145"/>
    <n v="3964"/>
    <n v="49160"/>
    <n v="17448"/>
  </r>
  <r>
    <n v="1117"/>
    <x v="102"/>
    <x v="1"/>
    <s v="Zeynep Çelik"/>
    <x v="4"/>
    <x v="6"/>
    <x v="4"/>
    <n v="8"/>
    <n v="1767"/>
    <n v="1384"/>
    <n v="14136"/>
    <n v="3064"/>
  </r>
  <r>
    <n v="1118"/>
    <x v="103"/>
    <x v="0"/>
    <s v="Mehmet Kaya"/>
    <x v="0"/>
    <x v="17"/>
    <x v="2"/>
    <n v="5"/>
    <n v="11112"/>
    <n v="7432"/>
    <n v="55560"/>
    <n v="18400"/>
  </r>
  <r>
    <n v="1119"/>
    <x v="104"/>
    <x v="3"/>
    <s v="Ayşe Demir"/>
    <x v="3"/>
    <x v="12"/>
    <x v="4"/>
    <n v="7"/>
    <n v="714"/>
    <n v="364"/>
    <n v="4998"/>
    <n v="2450"/>
  </r>
  <r>
    <n v="1120"/>
    <x v="105"/>
    <x v="2"/>
    <s v="Elif Kaya"/>
    <x v="3"/>
    <x v="15"/>
    <x v="2"/>
    <n v="8"/>
    <n v="18919"/>
    <n v="13077"/>
    <n v="151352"/>
    <n v="46736"/>
  </r>
  <r>
    <n v="1121"/>
    <x v="46"/>
    <x v="4"/>
    <s v="Can Arslan"/>
    <x v="0"/>
    <x v="1"/>
    <x v="1"/>
    <n v="9"/>
    <n v="2561"/>
    <n v="1334"/>
    <n v="23049"/>
    <n v="11043"/>
  </r>
  <r>
    <n v="1122"/>
    <x v="28"/>
    <x v="1"/>
    <s v="Burak Demir"/>
    <x v="1"/>
    <x v="17"/>
    <x v="2"/>
    <n v="6"/>
    <n v="15187"/>
    <n v="11204"/>
    <n v="91122"/>
    <n v="23898"/>
  </r>
  <r>
    <n v="1123"/>
    <x v="106"/>
    <x v="3"/>
    <s v="Seda Yıldız"/>
    <x v="3"/>
    <x v="19"/>
    <x v="3"/>
    <n v="3"/>
    <n v="3658"/>
    <n v="2899"/>
    <n v="10974"/>
    <n v="2277"/>
  </r>
  <r>
    <n v="1124"/>
    <x v="65"/>
    <x v="1"/>
    <s v="Can Arslan"/>
    <x v="4"/>
    <x v="12"/>
    <x v="4"/>
    <n v="9"/>
    <n v="3928"/>
    <n v="3139"/>
    <n v="35352"/>
    <n v="7101"/>
  </r>
  <r>
    <n v="1125"/>
    <x v="18"/>
    <x v="2"/>
    <s v="Ayşe Demir"/>
    <x v="2"/>
    <x v="12"/>
    <x v="4"/>
    <n v="10"/>
    <n v="4486"/>
    <n v="3238"/>
    <n v="44860"/>
    <n v="12480"/>
  </r>
  <r>
    <n v="1126"/>
    <x v="107"/>
    <x v="0"/>
    <s v="Ahmet Yılmaz"/>
    <x v="2"/>
    <x v="4"/>
    <x v="1"/>
    <n v="7"/>
    <n v="4819"/>
    <n v="3846"/>
    <n v="33733"/>
    <n v="6811"/>
  </r>
  <r>
    <n v="1127"/>
    <x v="108"/>
    <x v="0"/>
    <s v="Can Arslan"/>
    <x v="3"/>
    <x v="6"/>
    <x v="4"/>
    <n v="8"/>
    <n v="5117"/>
    <n v="3516"/>
    <n v="40936"/>
    <n v="12808"/>
  </r>
  <r>
    <n v="1128"/>
    <x v="81"/>
    <x v="1"/>
    <s v="Can Arslan"/>
    <x v="0"/>
    <x v="6"/>
    <x v="4"/>
    <n v="9"/>
    <n v="3531"/>
    <n v="2716"/>
    <n v="31779"/>
    <n v="7335"/>
  </r>
  <r>
    <n v="1129"/>
    <x v="99"/>
    <x v="2"/>
    <s v="Mehmet Kaya"/>
    <x v="0"/>
    <x v="7"/>
    <x v="4"/>
    <n v="6"/>
    <n v="1626"/>
    <n v="966"/>
    <n v="9756"/>
    <n v="3960"/>
  </r>
  <r>
    <n v="1130"/>
    <x v="109"/>
    <x v="3"/>
    <s v="Zeynep Çelik"/>
    <x v="2"/>
    <x v="18"/>
    <x v="0"/>
    <n v="6"/>
    <n v="10433"/>
    <n v="6720"/>
    <n v="62598"/>
    <n v="22278"/>
  </r>
  <r>
    <n v="1131"/>
    <x v="41"/>
    <x v="1"/>
    <s v="Can Arslan"/>
    <x v="4"/>
    <x v="14"/>
    <x v="1"/>
    <n v="5"/>
    <n v="6031"/>
    <n v="3958"/>
    <n v="30155"/>
    <n v="10365"/>
  </r>
  <r>
    <n v="1132"/>
    <x v="110"/>
    <x v="0"/>
    <s v="Mehmet Kaya"/>
    <x v="3"/>
    <x v="14"/>
    <x v="1"/>
    <n v="9"/>
    <n v="7385"/>
    <n v="5022"/>
    <n v="66465"/>
    <n v="21267"/>
  </r>
  <r>
    <n v="1133"/>
    <x v="111"/>
    <x v="3"/>
    <s v="Seda Yıldız"/>
    <x v="2"/>
    <x v="16"/>
    <x v="4"/>
    <n v="10"/>
    <n v="1017"/>
    <n v="723"/>
    <n v="10170"/>
    <n v="2940"/>
  </r>
  <r>
    <n v="1134"/>
    <x v="94"/>
    <x v="2"/>
    <s v="Burak Demir"/>
    <x v="3"/>
    <x v="3"/>
    <x v="3"/>
    <n v="4"/>
    <n v="3065"/>
    <n v="1743"/>
    <n v="12260"/>
    <n v="5288"/>
  </r>
  <r>
    <n v="1135"/>
    <x v="112"/>
    <x v="4"/>
    <s v="Mehmet Kaya"/>
    <x v="0"/>
    <x v="19"/>
    <x v="3"/>
    <n v="3"/>
    <n v="2169"/>
    <n v="1618"/>
    <n v="6507"/>
    <n v="1653"/>
  </r>
  <r>
    <n v="1136"/>
    <x v="31"/>
    <x v="1"/>
    <s v="Ayşe Demir"/>
    <x v="3"/>
    <x v="0"/>
    <x v="0"/>
    <n v="10"/>
    <n v="6388"/>
    <n v="4585"/>
    <n v="63880"/>
    <n v="18030"/>
  </r>
  <r>
    <n v="1137"/>
    <x v="113"/>
    <x v="3"/>
    <s v="Mehmet Kaya"/>
    <x v="1"/>
    <x v="18"/>
    <x v="0"/>
    <n v="2"/>
    <n v="4942"/>
    <n v="2634"/>
    <n v="9884"/>
    <n v="4616"/>
  </r>
  <r>
    <n v="1138"/>
    <x v="114"/>
    <x v="1"/>
    <s v="Ayşe Demir"/>
    <x v="1"/>
    <x v="15"/>
    <x v="2"/>
    <n v="9"/>
    <n v="9689"/>
    <n v="7103"/>
    <n v="87201"/>
    <n v="23274"/>
  </r>
  <r>
    <n v="1139"/>
    <x v="115"/>
    <x v="2"/>
    <s v="Seda Yıldız"/>
    <x v="3"/>
    <x v="16"/>
    <x v="4"/>
    <n v="8"/>
    <n v="2061"/>
    <n v="1346"/>
    <n v="16488"/>
    <n v="5720"/>
  </r>
  <r>
    <n v="1140"/>
    <x v="116"/>
    <x v="0"/>
    <s v="Burak Demir"/>
    <x v="4"/>
    <x v="7"/>
    <x v="4"/>
    <n v="1"/>
    <n v="5994"/>
    <n v="3615"/>
    <n v="5994"/>
    <n v="2379"/>
  </r>
  <r>
    <n v="1141"/>
    <x v="117"/>
    <x v="0"/>
    <s v="Mehmet Kaya"/>
    <x v="3"/>
    <x v="9"/>
    <x v="3"/>
    <n v="1"/>
    <n v="1866"/>
    <n v="1144"/>
    <n v="1866"/>
    <n v="722"/>
  </r>
  <r>
    <n v="1142"/>
    <x v="68"/>
    <x v="1"/>
    <s v="Ayşe Demir"/>
    <x v="4"/>
    <x v="14"/>
    <x v="1"/>
    <n v="6"/>
    <n v="7253"/>
    <n v="5297"/>
    <n v="43518"/>
    <n v="11736"/>
  </r>
  <r>
    <n v="1143"/>
    <x v="118"/>
    <x v="2"/>
    <s v="Ayşe Demir"/>
    <x v="2"/>
    <x v="4"/>
    <x v="1"/>
    <n v="3"/>
    <n v="1351"/>
    <n v="678"/>
    <n v="4053"/>
    <n v="2019"/>
  </r>
  <r>
    <n v="1144"/>
    <x v="119"/>
    <x v="3"/>
    <s v="Ahmet Yılmaz"/>
    <x v="0"/>
    <x v="13"/>
    <x v="0"/>
    <n v="7"/>
    <n v="8374"/>
    <n v="5594"/>
    <n v="58618"/>
    <n v="19460"/>
  </r>
  <r>
    <n v="1145"/>
    <x v="49"/>
    <x v="1"/>
    <s v="Ayşe Demir"/>
    <x v="3"/>
    <x v="16"/>
    <x v="4"/>
    <n v="4"/>
    <n v="2075"/>
    <n v="1429"/>
    <n v="8300"/>
    <n v="2584"/>
  </r>
  <r>
    <n v="1146"/>
    <x v="26"/>
    <x v="0"/>
    <s v="Mehmet Kaya"/>
    <x v="2"/>
    <x v="2"/>
    <x v="2"/>
    <n v="6"/>
    <n v="17069"/>
    <n v="11272"/>
    <n v="102414"/>
    <n v="34782"/>
  </r>
  <r>
    <n v="1147"/>
    <x v="120"/>
    <x v="3"/>
    <s v="Ayşe Demir"/>
    <x v="2"/>
    <x v="15"/>
    <x v="2"/>
    <n v="1"/>
    <n v="8833"/>
    <n v="5406"/>
    <n v="8833"/>
    <n v="3427"/>
  </r>
  <r>
    <n v="1148"/>
    <x v="38"/>
    <x v="2"/>
    <s v="Can Arslan"/>
    <x v="1"/>
    <x v="18"/>
    <x v="0"/>
    <n v="7"/>
    <n v="5495"/>
    <n v="3356"/>
    <n v="38465"/>
    <n v="14973"/>
  </r>
  <r>
    <n v="1149"/>
    <x v="121"/>
    <x v="4"/>
    <s v="Ayşe Demir"/>
    <x v="0"/>
    <x v="9"/>
    <x v="3"/>
    <n v="4"/>
    <n v="2236"/>
    <n v="1183"/>
    <n v="8944"/>
    <n v="4212"/>
  </r>
  <r>
    <n v="1150"/>
    <x v="69"/>
    <x v="1"/>
    <s v="Mehmet Kaya"/>
    <x v="0"/>
    <x v="15"/>
    <x v="2"/>
    <n v="1"/>
    <n v="15678"/>
    <n v="10812"/>
    <n v="15678"/>
    <n v="4866"/>
  </r>
  <r>
    <n v="1151"/>
    <x v="122"/>
    <x v="3"/>
    <s v="Ayşe Demir"/>
    <x v="0"/>
    <x v="7"/>
    <x v="4"/>
    <n v="3"/>
    <n v="743"/>
    <n v="409"/>
    <n v="2229"/>
    <n v="1002"/>
  </r>
  <r>
    <n v="1152"/>
    <x v="123"/>
    <x v="1"/>
    <s v="Mehmet Kaya"/>
    <x v="1"/>
    <x v="0"/>
    <x v="0"/>
    <n v="7"/>
    <n v="5367"/>
    <n v="3452"/>
    <n v="37569"/>
    <n v="13405"/>
  </r>
  <r>
    <n v="1153"/>
    <x v="124"/>
    <x v="2"/>
    <s v="Can Arslan"/>
    <x v="1"/>
    <x v="14"/>
    <x v="1"/>
    <n v="7"/>
    <n v="5048"/>
    <n v="3168"/>
    <n v="35336"/>
    <n v="13160"/>
  </r>
  <r>
    <n v="1154"/>
    <x v="125"/>
    <x v="0"/>
    <s v="Merve Şahin"/>
    <x v="4"/>
    <x v="13"/>
    <x v="0"/>
    <n v="3"/>
    <n v="6756"/>
    <n v="4580"/>
    <n v="20268"/>
    <n v="6528"/>
  </r>
  <r>
    <n v="1155"/>
    <x v="126"/>
    <x v="0"/>
    <s v="Elif Kaya"/>
    <x v="3"/>
    <x v="9"/>
    <x v="3"/>
    <n v="1"/>
    <n v="2465"/>
    <n v="1237"/>
    <n v="2465"/>
    <n v="1228"/>
  </r>
  <r>
    <n v="1156"/>
    <x v="127"/>
    <x v="1"/>
    <s v="Ayşe Demir"/>
    <x v="0"/>
    <x v="14"/>
    <x v="1"/>
    <n v="6"/>
    <n v="6038"/>
    <n v="3839"/>
    <n v="36228"/>
    <n v="13194"/>
  </r>
  <r>
    <n v="1157"/>
    <x v="128"/>
    <x v="2"/>
    <s v="Burak Demir"/>
    <x v="4"/>
    <x v="12"/>
    <x v="4"/>
    <n v="5"/>
    <n v="1335"/>
    <n v="946"/>
    <n v="6675"/>
    <n v="1945"/>
  </r>
  <r>
    <n v="1158"/>
    <x v="45"/>
    <x v="3"/>
    <s v="Mehmet Kaya"/>
    <x v="3"/>
    <x v="16"/>
    <x v="4"/>
    <n v="10"/>
    <n v="1416"/>
    <n v="820"/>
    <n v="14160"/>
    <n v="5960"/>
  </r>
  <r>
    <n v="1159"/>
    <x v="129"/>
    <x v="1"/>
    <s v="Merve Şahin"/>
    <x v="4"/>
    <x v="0"/>
    <x v="0"/>
    <n v="6"/>
    <n v="2559"/>
    <n v="1496"/>
    <n v="15354"/>
    <n v="6378"/>
  </r>
  <r>
    <n v="1160"/>
    <x v="130"/>
    <x v="0"/>
    <s v="Emre Aydın"/>
    <x v="3"/>
    <x v="11"/>
    <x v="2"/>
    <n v="1"/>
    <n v="23344"/>
    <n v="17387"/>
    <n v="23344"/>
    <n v="5957"/>
  </r>
  <r>
    <n v="1161"/>
    <x v="131"/>
    <x v="3"/>
    <s v="Burak Demir"/>
    <x v="4"/>
    <x v="4"/>
    <x v="1"/>
    <n v="4"/>
    <n v="1590"/>
    <n v="1023"/>
    <n v="6360"/>
    <n v="2268"/>
  </r>
  <r>
    <n v="1162"/>
    <x v="114"/>
    <x v="2"/>
    <s v="Ahmet Yılmaz"/>
    <x v="4"/>
    <x v="16"/>
    <x v="4"/>
    <n v="5"/>
    <n v="6697"/>
    <n v="3548"/>
    <n v="33485"/>
    <n v="15745"/>
  </r>
  <r>
    <n v="1163"/>
    <x v="58"/>
    <x v="4"/>
    <s v="Mehmet Kaya"/>
    <x v="3"/>
    <x v="15"/>
    <x v="2"/>
    <n v="9"/>
    <n v="14311"/>
    <n v="10070"/>
    <n v="128799"/>
    <n v="38169"/>
  </r>
  <r>
    <n v="1164"/>
    <x v="132"/>
    <x v="1"/>
    <s v="Seda Yıldız"/>
    <x v="4"/>
    <x v="6"/>
    <x v="4"/>
    <n v="1"/>
    <n v="4570"/>
    <n v="3051"/>
    <n v="4570"/>
    <n v="1519"/>
  </r>
  <r>
    <n v="1165"/>
    <x v="133"/>
    <x v="3"/>
    <s v="Emre Aydın"/>
    <x v="4"/>
    <x v="18"/>
    <x v="0"/>
    <n v="7"/>
    <n v="5569"/>
    <n v="4055"/>
    <n v="38983"/>
    <n v="10598"/>
  </r>
  <r>
    <n v="1166"/>
    <x v="134"/>
    <x v="1"/>
    <s v="Elif Kaya"/>
    <x v="1"/>
    <x v="11"/>
    <x v="2"/>
    <n v="3"/>
    <n v="15964"/>
    <n v="11978"/>
    <n v="47892"/>
    <n v="11958"/>
  </r>
  <r>
    <n v="1167"/>
    <x v="135"/>
    <x v="2"/>
    <s v="Seda Yıldız"/>
    <x v="1"/>
    <x v="12"/>
    <x v="4"/>
    <n v="1"/>
    <n v="4773"/>
    <n v="2883"/>
    <n v="4773"/>
    <n v="1890"/>
  </r>
  <r>
    <n v="1168"/>
    <x v="136"/>
    <x v="0"/>
    <s v="Emre Aydın"/>
    <x v="2"/>
    <x v="12"/>
    <x v="4"/>
    <n v="10"/>
    <n v="3028"/>
    <n v="2023"/>
    <n v="30280"/>
    <n v="10050"/>
  </r>
  <r>
    <n v="1169"/>
    <x v="137"/>
    <x v="0"/>
    <s v="Mehmet Kaya"/>
    <x v="2"/>
    <x v="8"/>
    <x v="3"/>
    <n v="3"/>
    <n v="1686"/>
    <n v="1087"/>
    <n v="5058"/>
    <n v="1797"/>
  </r>
  <r>
    <n v="1170"/>
    <x v="138"/>
    <x v="1"/>
    <s v="Emre Aydın"/>
    <x v="4"/>
    <x v="2"/>
    <x v="2"/>
    <n v="4"/>
    <n v="10952"/>
    <n v="7484"/>
    <n v="43808"/>
    <n v="13872"/>
  </r>
  <r>
    <n v="1171"/>
    <x v="139"/>
    <x v="2"/>
    <s v="Mehmet Kaya"/>
    <x v="1"/>
    <x v="15"/>
    <x v="2"/>
    <n v="4"/>
    <n v="15480"/>
    <n v="12098"/>
    <n v="61920"/>
    <n v="13528"/>
  </r>
  <r>
    <n v="1172"/>
    <x v="102"/>
    <x v="3"/>
    <s v="Ahmet Yılmaz"/>
    <x v="4"/>
    <x v="15"/>
    <x v="2"/>
    <n v="4"/>
    <n v="9451"/>
    <n v="5661"/>
    <n v="37804"/>
    <n v="15160"/>
  </r>
  <r>
    <n v="1173"/>
    <x v="58"/>
    <x v="1"/>
    <s v="Ayşe Demir"/>
    <x v="0"/>
    <x v="7"/>
    <x v="4"/>
    <n v="1"/>
    <n v="3400"/>
    <n v="2574"/>
    <n v="3400"/>
    <n v="826"/>
  </r>
  <r>
    <n v="1174"/>
    <x v="140"/>
    <x v="0"/>
    <s v="Can Arslan"/>
    <x v="3"/>
    <x v="11"/>
    <x v="2"/>
    <n v="1"/>
    <n v="15696"/>
    <n v="9262"/>
    <n v="15696"/>
    <n v="6434"/>
  </r>
  <r>
    <n v="1175"/>
    <x v="0"/>
    <x v="3"/>
    <s v="Emre Aydın"/>
    <x v="1"/>
    <x v="5"/>
    <x v="0"/>
    <n v="2"/>
    <n v="2964"/>
    <n v="1997"/>
    <n v="5928"/>
    <n v="1934"/>
  </r>
  <r>
    <n v="1176"/>
    <x v="139"/>
    <x v="2"/>
    <s v="Burak Demir"/>
    <x v="3"/>
    <x v="18"/>
    <x v="0"/>
    <n v="6"/>
    <n v="8102"/>
    <n v="4896"/>
    <n v="48612"/>
    <n v="19236"/>
  </r>
  <r>
    <n v="1177"/>
    <x v="122"/>
    <x v="4"/>
    <s v="Seda Yıldız"/>
    <x v="4"/>
    <x v="16"/>
    <x v="4"/>
    <n v="7"/>
    <n v="4585"/>
    <n v="3435"/>
    <n v="32095"/>
    <n v="8050"/>
  </r>
  <r>
    <n v="1178"/>
    <x v="141"/>
    <x v="1"/>
    <s v="Elif Kaya"/>
    <x v="0"/>
    <x v="16"/>
    <x v="4"/>
    <n v="8"/>
    <n v="900"/>
    <n v="607"/>
    <n v="7200"/>
    <n v="2344"/>
  </r>
  <r>
    <n v="1179"/>
    <x v="142"/>
    <x v="3"/>
    <s v="Ayşe Demir"/>
    <x v="1"/>
    <x v="9"/>
    <x v="3"/>
    <n v="5"/>
    <n v="1641"/>
    <n v="945"/>
    <n v="8205"/>
    <n v="3480"/>
  </r>
  <r>
    <n v="1180"/>
    <x v="143"/>
    <x v="1"/>
    <s v="Burak Demir"/>
    <x v="4"/>
    <x v="7"/>
    <x v="4"/>
    <n v="9"/>
    <n v="1460"/>
    <n v="999"/>
    <n v="13140"/>
    <n v="4149"/>
  </r>
  <r>
    <n v="1181"/>
    <x v="144"/>
    <x v="2"/>
    <s v="Zeynep Çelik"/>
    <x v="2"/>
    <x v="10"/>
    <x v="1"/>
    <n v="5"/>
    <n v="1688"/>
    <n v="1036"/>
    <n v="8440"/>
    <n v="3260"/>
  </r>
  <r>
    <n v="1182"/>
    <x v="145"/>
    <x v="0"/>
    <s v="Can Arslan"/>
    <x v="2"/>
    <x v="3"/>
    <x v="3"/>
    <n v="1"/>
    <n v="1505"/>
    <n v="1124"/>
    <n v="1505"/>
    <n v="381"/>
  </r>
  <r>
    <n v="1183"/>
    <x v="146"/>
    <x v="0"/>
    <s v="Ahmet Yılmaz"/>
    <x v="4"/>
    <x v="1"/>
    <x v="1"/>
    <n v="2"/>
    <n v="7367"/>
    <n v="5815"/>
    <n v="14734"/>
    <n v="3104"/>
  </r>
  <r>
    <n v="1184"/>
    <x v="147"/>
    <x v="1"/>
    <s v="Seda Yıldız"/>
    <x v="0"/>
    <x v="13"/>
    <x v="0"/>
    <n v="4"/>
    <n v="7108"/>
    <n v="4262"/>
    <n v="28432"/>
    <n v="11384"/>
  </r>
  <r>
    <n v="1185"/>
    <x v="148"/>
    <x v="2"/>
    <s v="Emre Aydın"/>
    <x v="0"/>
    <x v="6"/>
    <x v="4"/>
    <n v="5"/>
    <n v="5477"/>
    <n v="3655"/>
    <n v="27385"/>
    <n v="9110"/>
  </r>
  <r>
    <n v="1186"/>
    <x v="2"/>
    <x v="3"/>
    <s v="Zeynep Çelik"/>
    <x v="0"/>
    <x v="2"/>
    <x v="2"/>
    <n v="2"/>
    <n v="21549"/>
    <n v="10980"/>
    <n v="43098"/>
    <n v="21138"/>
  </r>
  <r>
    <n v="1187"/>
    <x v="149"/>
    <x v="1"/>
    <s v="Burak Demir"/>
    <x v="0"/>
    <x v="9"/>
    <x v="3"/>
    <n v="6"/>
    <n v="1627"/>
    <n v="957"/>
    <n v="9762"/>
    <n v="4020"/>
  </r>
  <r>
    <n v="1188"/>
    <x v="52"/>
    <x v="0"/>
    <s v="Ahmet Yılmaz"/>
    <x v="3"/>
    <x v="11"/>
    <x v="2"/>
    <n v="10"/>
    <n v="20819"/>
    <n v="14870"/>
    <n v="208190"/>
    <n v="59490"/>
  </r>
  <r>
    <n v="1189"/>
    <x v="29"/>
    <x v="3"/>
    <s v="Ahmet Yılmaz"/>
    <x v="2"/>
    <x v="5"/>
    <x v="0"/>
    <n v="10"/>
    <n v="9411"/>
    <n v="5907"/>
    <n v="94110"/>
    <n v="35040"/>
  </r>
  <r>
    <n v="1190"/>
    <x v="144"/>
    <x v="2"/>
    <s v="Can Arslan"/>
    <x v="3"/>
    <x v="19"/>
    <x v="3"/>
    <n v="3"/>
    <n v="1912"/>
    <n v="1348"/>
    <n v="5736"/>
    <n v="1692"/>
  </r>
  <r>
    <n v="1191"/>
    <x v="150"/>
    <x v="4"/>
    <s v="Can Arslan"/>
    <x v="3"/>
    <x v="8"/>
    <x v="3"/>
    <n v="3"/>
    <n v="3850"/>
    <n v="2536"/>
    <n v="11550"/>
    <n v="3942"/>
  </r>
  <r>
    <n v="1192"/>
    <x v="40"/>
    <x v="1"/>
    <s v="Ayşe Demir"/>
    <x v="1"/>
    <x v="9"/>
    <x v="3"/>
    <n v="5"/>
    <n v="3387"/>
    <n v="1812"/>
    <n v="16935"/>
    <n v="7875"/>
  </r>
  <r>
    <n v="1193"/>
    <x v="73"/>
    <x v="3"/>
    <s v="Zeynep Çelik"/>
    <x v="2"/>
    <x v="15"/>
    <x v="2"/>
    <n v="4"/>
    <n v="6867"/>
    <n v="4946"/>
    <n v="27468"/>
    <n v="7684"/>
  </r>
  <r>
    <n v="1194"/>
    <x v="146"/>
    <x v="1"/>
    <s v="Zeynep Çelik"/>
    <x v="0"/>
    <x v="3"/>
    <x v="3"/>
    <n v="7"/>
    <n v="3662"/>
    <n v="1867"/>
    <n v="25634"/>
    <n v="12565"/>
  </r>
  <r>
    <n v="1195"/>
    <x v="151"/>
    <x v="2"/>
    <s v="Elif Kaya"/>
    <x v="2"/>
    <x v="5"/>
    <x v="0"/>
    <n v="1"/>
    <n v="3831"/>
    <n v="2820"/>
    <n v="3831"/>
    <n v="1011"/>
  </r>
  <r>
    <n v="1196"/>
    <x v="152"/>
    <x v="0"/>
    <s v="Mehmet Kaya"/>
    <x v="1"/>
    <x v="18"/>
    <x v="0"/>
    <n v="4"/>
    <n v="8966"/>
    <n v="4989"/>
    <n v="35864"/>
    <n v="15908"/>
  </r>
  <r>
    <n v="1197"/>
    <x v="153"/>
    <x v="0"/>
    <s v="Seda Yıldız"/>
    <x v="1"/>
    <x v="1"/>
    <x v="1"/>
    <n v="7"/>
    <n v="6599"/>
    <n v="4487"/>
    <n v="46193"/>
    <n v="14784"/>
  </r>
  <r>
    <n v="1198"/>
    <x v="154"/>
    <x v="1"/>
    <s v="Can Arslan"/>
    <x v="1"/>
    <x v="14"/>
    <x v="1"/>
    <n v="4"/>
    <n v="7786"/>
    <n v="4197"/>
    <n v="31144"/>
    <n v="14356"/>
  </r>
  <r>
    <n v="1199"/>
    <x v="58"/>
    <x v="2"/>
    <s v="Emre Aydın"/>
    <x v="4"/>
    <x v="13"/>
    <x v="0"/>
    <n v="2"/>
    <n v="6968"/>
    <n v="4515"/>
    <n v="13936"/>
    <n v="4906"/>
  </r>
  <r>
    <n v="1200"/>
    <x v="121"/>
    <x v="3"/>
    <s v="Ayşe Demir"/>
    <x v="4"/>
    <x v="17"/>
    <x v="2"/>
    <n v="4"/>
    <n v="24931"/>
    <n v="18489"/>
    <n v="99724"/>
    <n v="25768"/>
  </r>
  <r>
    <n v="1201"/>
    <x v="52"/>
    <x v="1"/>
    <s v="Emre Aydın"/>
    <x v="3"/>
    <x v="10"/>
    <x v="1"/>
    <n v="1"/>
    <n v="1104"/>
    <n v="585"/>
    <n v="1104"/>
    <n v="519"/>
  </r>
  <r>
    <n v="1202"/>
    <x v="155"/>
    <x v="0"/>
    <s v="Seda Yıldız"/>
    <x v="3"/>
    <x v="9"/>
    <x v="3"/>
    <n v="5"/>
    <n v="757"/>
    <n v="594"/>
    <n v="3785"/>
    <n v="815"/>
  </r>
  <r>
    <n v="1203"/>
    <x v="129"/>
    <x v="3"/>
    <s v="Merve Şahin"/>
    <x v="1"/>
    <x v="16"/>
    <x v="4"/>
    <n v="8"/>
    <n v="3673"/>
    <n v="2147"/>
    <n v="29384"/>
    <n v="12208"/>
  </r>
  <r>
    <n v="1204"/>
    <x v="156"/>
    <x v="2"/>
    <s v="Elif Kaya"/>
    <x v="4"/>
    <x v="16"/>
    <x v="4"/>
    <n v="7"/>
    <n v="2123"/>
    <n v="1161"/>
    <n v="14861"/>
    <n v="6734"/>
  </r>
  <r>
    <n v="1205"/>
    <x v="80"/>
    <x v="4"/>
    <s v="Emre Aydın"/>
    <x v="3"/>
    <x v="18"/>
    <x v="0"/>
    <n v="3"/>
    <n v="2461"/>
    <n v="1370"/>
    <n v="7383"/>
    <n v="3273"/>
  </r>
  <r>
    <n v="1206"/>
    <x v="20"/>
    <x v="1"/>
    <s v="Burak Demir"/>
    <x v="0"/>
    <x v="11"/>
    <x v="2"/>
    <n v="6"/>
    <n v="7329"/>
    <n v="3681"/>
    <n v="43974"/>
    <n v="21888"/>
  </r>
  <r>
    <n v="1207"/>
    <x v="157"/>
    <x v="3"/>
    <s v="Ahmet Yılmaz"/>
    <x v="3"/>
    <x v="17"/>
    <x v="2"/>
    <n v="3"/>
    <n v="20883"/>
    <n v="14849"/>
    <n v="62649"/>
    <n v="18102"/>
  </r>
  <r>
    <n v="1208"/>
    <x v="158"/>
    <x v="1"/>
    <s v="Ayşe Demir"/>
    <x v="4"/>
    <x v="19"/>
    <x v="3"/>
    <n v="7"/>
    <n v="750"/>
    <n v="585"/>
    <n v="5250"/>
    <n v="1155"/>
  </r>
  <r>
    <n v="1209"/>
    <x v="41"/>
    <x v="2"/>
    <s v="Merve Şahin"/>
    <x v="3"/>
    <x v="15"/>
    <x v="2"/>
    <n v="5"/>
    <n v="12182"/>
    <n v="9029"/>
    <n v="60910"/>
    <n v="15765"/>
  </r>
  <r>
    <n v="1210"/>
    <x v="159"/>
    <x v="0"/>
    <s v="Merve Şahin"/>
    <x v="3"/>
    <x v="2"/>
    <x v="2"/>
    <n v="1"/>
    <n v="11727"/>
    <n v="6104"/>
    <n v="11727"/>
    <n v="5623"/>
  </r>
  <r>
    <n v="1211"/>
    <x v="160"/>
    <x v="0"/>
    <s v="Ayşe Demir"/>
    <x v="0"/>
    <x v="14"/>
    <x v="1"/>
    <n v="10"/>
    <n v="1092"/>
    <n v="751"/>
    <n v="10920"/>
    <n v="3410"/>
  </r>
  <r>
    <n v="1212"/>
    <x v="84"/>
    <x v="1"/>
    <s v="Elif Kaya"/>
    <x v="4"/>
    <x v="12"/>
    <x v="4"/>
    <n v="6"/>
    <n v="2809"/>
    <n v="1785"/>
    <n v="16854"/>
    <n v="6144"/>
  </r>
  <r>
    <n v="1213"/>
    <x v="119"/>
    <x v="2"/>
    <s v="Burak Demir"/>
    <x v="1"/>
    <x v="8"/>
    <x v="3"/>
    <n v="9"/>
    <n v="2336"/>
    <n v="1829"/>
    <n v="21024"/>
    <n v="4563"/>
  </r>
  <r>
    <n v="1214"/>
    <x v="109"/>
    <x v="3"/>
    <s v="Seda Yıldız"/>
    <x v="2"/>
    <x v="15"/>
    <x v="2"/>
    <n v="10"/>
    <n v="6668"/>
    <n v="4634"/>
    <n v="66680"/>
    <n v="20340"/>
  </r>
  <r>
    <n v="1215"/>
    <x v="77"/>
    <x v="1"/>
    <s v="Merve Şahin"/>
    <x v="2"/>
    <x v="7"/>
    <x v="4"/>
    <n v="6"/>
    <n v="6342"/>
    <n v="4617"/>
    <n v="38052"/>
    <n v="10350"/>
  </r>
  <r>
    <n v="1216"/>
    <x v="161"/>
    <x v="0"/>
    <s v="Burak Demir"/>
    <x v="2"/>
    <x v="8"/>
    <x v="3"/>
    <n v="2"/>
    <n v="3625"/>
    <n v="2675"/>
    <n v="7250"/>
    <n v="1900"/>
  </r>
  <r>
    <n v="1217"/>
    <x v="24"/>
    <x v="3"/>
    <s v="Ahmet Yılmaz"/>
    <x v="2"/>
    <x v="8"/>
    <x v="3"/>
    <n v="3"/>
    <n v="2083"/>
    <n v="1186"/>
    <n v="6249"/>
    <n v="2691"/>
  </r>
  <r>
    <n v="1218"/>
    <x v="139"/>
    <x v="2"/>
    <s v="Emre Aydın"/>
    <x v="1"/>
    <x v="4"/>
    <x v="1"/>
    <n v="6"/>
    <n v="1370"/>
    <n v="752"/>
    <n v="8220"/>
    <n v="3708"/>
  </r>
  <r>
    <n v="1219"/>
    <x v="162"/>
    <x v="4"/>
    <s v="Ayşe Demir"/>
    <x v="0"/>
    <x v="6"/>
    <x v="4"/>
    <n v="10"/>
    <n v="3077"/>
    <n v="2171"/>
    <n v="30770"/>
    <n v="9060"/>
  </r>
  <r>
    <n v="1220"/>
    <x v="121"/>
    <x v="1"/>
    <s v="Seda Yıldız"/>
    <x v="0"/>
    <x v="4"/>
    <x v="1"/>
    <n v="9"/>
    <n v="1606"/>
    <n v="1069"/>
    <n v="14454"/>
    <n v="4833"/>
  </r>
  <r>
    <n v="1221"/>
    <x v="62"/>
    <x v="3"/>
    <s v="Merve Şahin"/>
    <x v="0"/>
    <x v="5"/>
    <x v="0"/>
    <n v="4"/>
    <n v="11662"/>
    <n v="6620"/>
    <n v="46648"/>
    <n v="20168"/>
  </r>
  <r>
    <n v="1222"/>
    <x v="163"/>
    <x v="1"/>
    <s v="Ayşe Demir"/>
    <x v="0"/>
    <x v="12"/>
    <x v="4"/>
    <n v="9"/>
    <n v="5824"/>
    <n v="3339"/>
    <n v="52416"/>
    <n v="22365"/>
  </r>
  <r>
    <n v="1223"/>
    <x v="66"/>
    <x v="2"/>
    <s v="Elif Kaya"/>
    <x v="1"/>
    <x v="11"/>
    <x v="2"/>
    <n v="8"/>
    <n v="23895"/>
    <n v="15006"/>
    <n v="191160"/>
    <n v="71112"/>
  </r>
  <r>
    <n v="1224"/>
    <x v="35"/>
    <x v="0"/>
    <s v="Mehmet Kaya"/>
    <x v="0"/>
    <x v="2"/>
    <x v="2"/>
    <n v="1"/>
    <n v="19597"/>
    <n v="11773"/>
    <n v="19597"/>
    <n v="7824"/>
  </r>
  <r>
    <n v="1225"/>
    <x v="26"/>
    <x v="0"/>
    <s v="Zeynep Çelik"/>
    <x v="3"/>
    <x v="2"/>
    <x v="2"/>
    <n v="8"/>
    <n v="13641"/>
    <n v="8655"/>
    <n v="109128"/>
    <n v="39888"/>
  </r>
  <r>
    <n v="1226"/>
    <x v="164"/>
    <x v="1"/>
    <s v="Ayşe Demir"/>
    <x v="1"/>
    <x v="6"/>
    <x v="4"/>
    <n v="7"/>
    <n v="4803"/>
    <n v="3231"/>
    <n v="33621"/>
    <n v="11004"/>
  </r>
  <r>
    <n v="1227"/>
    <x v="84"/>
    <x v="2"/>
    <s v="Can Arslan"/>
    <x v="4"/>
    <x v="9"/>
    <x v="3"/>
    <n v="2"/>
    <n v="558"/>
    <n v="327"/>
    <n v="1116"/>
    <n v="462"/>
  </r>
  <r>
    <n v="1228"/>
    <x v="165"/>
    <x v="3"/>
    <s v="Can Arslan"/>
    <x v="0"/>
    <x v="4"/>
    <x v="1"/>
    <n v="10"/>
    <n v="4956"/>
    <n v="3310"/>
    <n v="49560"/>
    <n v="16460"/>
  </r>
  <r>
    <n v="1229"/>
    <x v="166"/>
    <x v="1"/>
    <s v="Mehmet Kaya"/>
    <x v="2"/>
    <x v="1"/>
    <x v="1"/>
    <n v="8"/>
    <n v="6164"/>
    <n v="4215"/>
    <n v="49312"/>
    <n v="15592"/>
  </r>
  <r>
    <n v="1230"/>
    <x v="57"/>
    <x v="0"/>
    <s v="Mehmet Kaya"/>
    <x v="0"/>
    <x v="3"/>
    <x v="3"/>
    <n v="2"/>
    <n v="1958"/>
    <n v="1550"/>
    <n v="3916"/>
    <n v="816"/>
  </r>
  <r>
    <n v="1231"/>
    <x v="167"/>
    <x v="3"/>
    <s v="Ayşe Demir"/>
    <x v="4"/>
    <x v="12"/>
    <x v="4"/>
    <n v="1"/>
    <n v="4513"/>
    <n v="2443"/>
    <n v="4513"/>
    <n v="2070"/>
  </r>
  <r>
    <n v="1232"/>
    <x v="168"/>
    <x v="2"/>
    <s v="Elif Kaya"/>
    <x v="0"/>
    <x v="16"/>
    <x v="4"/>
    <n v="6"/>
    <n v="6395"/>
    <n v="4077"/>
    <n v="38370"/>
    <n v="13908"/>
  </r>
  <r>
    <n v="1233"/>
    <x v="169"/>
    <x v="4"/>
    <s v="Emre Aydın"/>
    <x v="0"/>
    <x v="3"/>
    <x v="3"/>
    <n v="1"/>
    <n v="2916"/>
    <n v="1548"/>
    <n v="2916"/>
    <n v="1368"/>
  </r>
  <r>
    <n v="1234"/>
    <x v="134"/>
    <x v="1"/>
    <s v="Burak Demir"/>
    <x v="4"/>
    <x v="10"/>
    <x v="1"/>
    <n v="6"/>
    <n v="4931"/>
    <n v="2962"/>
    <n v="29586"/>
    <n v="11814"/>
  </r>
  <r>
    <n v="1235"/>
    <x v="170"/>
    <x v="3"/>
    <s v="Merve Şahin"/>
    <x v="2"/>
    <x v="8"/>
    <x v="3"/>
    <n v="1"/>
    <n v="1808"/>
    <n v="973"/>
    <n v="1808"/>
    <n v="835"/>
  </r>
  <r>
    <n v="1236"/>
    <x v="146"/>
    <x v="1"/>
    <s v="Mehmet Kaya"/>
    <x v="4"/>
    <x v="13"/>
    <x v="0"/>
    <n v="2"/>
    <n v="3613"/>
    <n v="2216"/>
    <n v="7226"/>
    <n v="2794"/>
  </r>
  <r>
    <n v="1237"/>
    <x v="109"/>
    <x v="2"/>
    <s v="Emre Aydın"/>
    <x v="3"/>
    <x v="16"/>
    <x v="4"/>
    <n v="2"/>
    <n v="4498"/>
    <n v="2788"/>
    <n v="8996"/>
    <n v="3420"/>
  </r>
  <r>
    <n v="1238"/>
    <x v="171"/>
    <x v="0"/>
    <s v="Can Arslan"/>
    <x v="3"/>
    <x v="19"/>
    <x v="3"/>
    <n v="3"/>
    <n v="1518"/>
    <n v="1100"/>
    <n v="4554"/>
    <n v="1254"/>
  </r>
  <r>
    <n v="1239"/>
    <x v="153"/>
    <x v="0"/>
    <s v="Merve Şahin"/>
    <x v="1"/>
    <x v="3"/>
    <x v="3"/>
    <n v="10"/>
    <n v="1909"/>
    <n v="1061"/>
    <n v="19090"/>
    <n v="8480"/>
  </r>
  <r>
    <n v="1240"/>
    <x v="78"/>
    <x v="1"/>
    <s v="Emre Aydın"/>
    <x v="0"/>
    <x v="13"/>
    <x v="0"/>
    <n v="9"/>
    <n v="4920"/>
    <n v="3821"/>
    <n v="44280"/>
    <n v="9891"/>
  </r>
  <r>
    <n v="1241"/>
    <x v="172"/>
    <x v="2"/>
    <s v="Emre Aydın"/>
    <x v="2"/>
    <x v="11"/>
    <x v="2"/>
    <n v="5"/>
    <n v="6043"/>
    <n v="3815"/>
    <n v="30215"/>
    <n v="11140"/>
  </r>
  <r>
    <n v="1242"/>
    <x v="67"/>
    <x v="3"/>
    <s v="Ahmet Yılmaz"/>
    <x v="4"/>
    <x v="16"/>
    <x v="4"/>
    <n v="5"/>
    <n v="1256"/>
    <n v="951"/>
    <n v="6280"/>
    <n v="1525"/>
  </r>
  <r>
    <n v="1243"/>
    <x v="104"/>
    <x v="1"/>
    <s v="Merve Şahin"/>
    <x v="0"/>
    <x v="1"/>
    <x v="1"/>
    <n v="8"/>
    <n v="3294"/>
    <n v="2313"/>
    <n v="26352"/>
    <n v="7848"/>
  </r>
  <r>
    <n v="1244"/>
    <x v="164"/>
    <x v="0"/>
    <s v="Mehmet Kaya"/>
    <x v="2"/>
    <x v="11"/>
    <x v="2"/>
    <n v="2"/>
    <n v="9488"/>
    <n v="6178"/>
    <n v="18976"/>
    <n v="6620"/>
  </r>
  <r>
    <n v="1245"/>
    <x v="107"/>
    <x v="3"/>
    <s v="Ayşe Demir"/>
    <x v="3"/>
    <x v="10"/>
    <x v="1"/>
    <n v="10"/>
    <n v="3442"/>
    <n v="1753"/>
    <n v="34420"/>
    <n v="16890"/>
  </r>
  <r>
    <n v="1246"/>
    <x v="125"/>
    <x v="2"/>
    <s v="Mehmet Kaya"/>
    <x v="4"/>
    <x v="5"/>
    <x v="0"/>
    <n v="7"/>
    <n v="8760"/>
    <n v="6692"/>
    <n v="61320"/>
    <n v="14476"/>
  </r>
  <r>
    <n v="1247"/>
    <x v="0"/>
    <x v="4"/>
    <s v="Merve Şahin"/>
    <x v="1"/>
    <x v="8"/>
    <x v="3"/>
    <n v="10"/>
    <n v="2508"/>
    <n v="1980"/>
    <n v="25080"/>
    <n v="5280"/>
  </r>
  <r>
    <n v="1248"/>
    <x v="173"/>
    <x v="1"/>
    <s v="Emre Aydın"/>
    <x v="1"/>
    <x v="19"/>
    <x v="3"/>
    <n v="9"/>
    <n v="3296"/>
    <n v="1737"/>
    <n v="29664"/>
    <n v="14031"/>
  </r>
  <r>
    <n v="1249"/>
    <x v="174"/>
    <x v="3"/>
    <s v="Ayşe Demir"/>
    <x v="3"/>
    <x v="3"/>
    <x v="3"/>
    <n v="5"/>
    <n v="2947"/>
    <n v="2120"/>
    <n v="14735"/>
    <n v="4135"/>
  </r>
  <r>
    <n v="1250"/>
    <x v="175"/>
    <x v="1"/>
    <s v="Burak Demir"/>
    <x v="1"/>
    <x v="0"/>
    <x v="0"/>
    <n v="2"/>
    <n v="6963"/>
    <n v="4879"/>
    <n v="13926"/>
    <n v="4168"/>
  </r>
  <r>
    <n v="1251"/>
    <x v="176"/>
    <x v="2"/>
    <s v="Merve Şahin"/>
    <x v="0"/>
    <x v="4"/>
    <x v="1"/>
    <n v="4"/>
    <n v="2962"/>
    <n v="1836"/>
    <n v="11848"/>
    <n v="4504"/>
  </r>
  <r>
    <n v="1252"/>
    <x v="177"/>
    <x v="0"/>
    <s v="Ahmet Yılmaz"/>
    <x v="2"/>
    <x v="6"/>
    <x v="4"/>
    <n v="9"/>
    <n v="2613"/>
    <n v="1817"/>
    <n v="23517"/>
    <n v="7164"/>
  </r>
  <r>
    <n v="1253"/>
    <x v="178"/>
    <x v="0"/>
    <s v="Can Arslan"/>
    <x v="0"/>
    <x v="4"/>
    <x v="1"/>
    <n v="3"/>
    <n v="4395"/>
    <n v="2977"/>
    <n v="13185"/>
    <n v="4254"/>
  </r>
  <r>
    <n v="1254"/>
    <x v="179"/>
    <x v="1"/>
    <s v="Can Arslan"/>
    <x v="0"/>
    <x v="15"/>
    <x v="2"/>
    <n v="4"/>
    <n v="18916"/>
    <n v="10336"/>
    <n v="75664"/>
    <n v="34320"/>
  </r>
  <r>
    <n v="1255"/>
    <x v="180"/>
    <x v="2"/>
    <s v="Seda Yıldız"/>
    <x v="0"/>
    <x v="11"/>
    <x v="2"/>
    <n v="10"/>
    <n v="17603"/>
    <n v="13532"/>
    <n v="176030"/>
    <n v="40710"/>
  </r>
  <r>
    <n v="1256"/>
    <x v="115"/>
    <x v="3"/>
    <s v="Mehmet Kaya"/>
    <x v="2"/>
    <x v="16"/>
    <x v="4"/>
    <n v="2"/>
    <n v="1692"/>
    <n v="1161"/>
    <n v="3384"/>
    <n v="1062"/>
  </r>
  <r>
    <n v="1257"/>
    <x v="108"/>
    <x v="1"/>
    <s v="Mehmet Kaya"/>
    <x v="4"/>
    <x v="7"/>
    <x v="4"/>
    <n v="2"/>
    <n v="1258"/>
    <n v="933"/>
    <n v="2516"/>
    <n v="650"/>
  </r>
  <r>
    <n v="1258"/>
    <x v="7"/>
    <x v="0"/>
    <s v="Mehmet Kaya"/>
    <x v="2"/>
    <x v="0"/>
    <x v="0"/>
    <n v="1"/>
    <n v="11190"/>
    <n v="5824"/>
    <n v="11190"/>
    <n v="5366"/>
  </r>
  <r>
    <n v="1259"/>
    <x v="145"/>
    <x v="3"/>
    <s v="Merve Şahin"/>
    <x v="0"/>
    <x v="13"/>
    <x v="0"/>
    <n v="1"/>
    <n v="8479"/>
    <n v="5125"/>
    <n v="8479"/>
    <n v="3354"/>
  </r>
  <r>
    <n v="1260"/>
    <x v="120"/>
    <x v="2"/>
    <s v="Seda Yıldız"/>
    <x v="1"/>
    <x v="17"/>
    <x v="2"/>
    <n v="3"/>
    <n v="8377"/>
    <n v="5924"/>
    <n v="25131"/>
    <n v="7359"/>
  </r>
  <r>
    <n v="1261"/>
    <x v="179"/>
    <x v="4"/>
    <s v="Seda Yıldız"/>
    <x v="2"/>
    <x v="10"/>
    <x v="1"/>
    <n v="9"/>
    <n v="7664"/>
    <n v="4925"/>
    <n v="68976"/>
    <n v="24651"/>
  </r>
  <r>
    <n v="1262"/>
    <x v="181"/>
    <x v="1"/>
    <s v="Elif Kaya"/>
    <x v="3"/>
    <x v="19"/>
    <x v="3"/>
    <n v="8"/>
    <n v="3444"/>
    <n v="2102"/>
    <n v="27552"/>
    <n v="10736"/>
  </r>
  <r>
    <n v="1263"/>
    <x v="59"/>
    <x v="3"/>
    <s v="Emre Aydın"/>
    <x v="2"/>
    <x v="4"/>
    <x v="1"/>
    <n v="10"/>
    <n v="6678"/>
    <n v="4129"/>
    <n v="66780"/>
    <n v="25490"/>
  </r>
  <r>
    <n v="1264"/>
    <x v="182"/>
    <x v="1"/>
    <s v="Emre Aydın"/>
    <x v="2"/>
    <x v="0"/>
    <x v="0"/>
    <n v="7"/>
    <n v="11885"/>
    <n v="9126"/>
    <n v="83195"/>
    <n v="19313"/>
  </r>
  <r>
    <n v="1265"/>
    <x v="183"/>
    <x v="2"/>
    <s v="Zeynep Çelik"/>
    <x v="4"/>
    <x v="1"/>
    <x v="1"/>
    <n v="2"/>
    <n v="7575"/>
    <n v="5628"/>
    <n v="15150"/>
    <n v="3894"/>
  </r>
  <r>
    <n v="1266"/>
    <x v="89"/>
    <x v="0"/>
    <s v="Elif Kaya"/>
    <x v="4"/>
    <x v="13"/>
    <x v="0"/>
    <n v="1"/>
    <n v="7924"/>
    <n v="4634"/>
    <n v="7924"/>
    <n v="3290"/>
  </r>
  <r>
    <n v="1267"/>
    <x v="172"/>
    <x v="0"/>
    <s v="Ahmet Yılmaz"/>
    <x v="2"/>
    <x v="8"/>
    <x v="3"/>
    <n v="6"/>
    <n v="1990"/>
    <n v="1273"/>
    <n v="11940"/>
    <n v="4302"/>
  </r>
  <r>
    <n v="1268"/>
    <x v="125"/>
    <x v="1"/>
    <s v="Mehmet Kaya"/>
    <x v="2"/>
    <x v="9"/>
    <x v="3"/>
    <n v="5"/>
    <n v="2007"/>
    <n v="1252"/>
    <n v="10035"/>
    <n v="3775"/>
  </r>
  <r>
    <n v="1269"/>
    <x v="184"/>
    <x v="2"/>
    <s v="Zeynep Çelik"/>
    <x v="2"/>
    <x v="2"/>
    <x v="2"/>
    <n v="6"/>
    <n v="14814"/>
    <n v="10383"/>
    <n v="88884"/>
    <n v="26586"/>
  </r>
  <r>
    <n v="1270"/>
    <x v="185"/>
    <x v="3"/>
    <s v="Merve Şahin"/>
    <x v="4"/>
    <x v="6"/>
    <x v="4"/>
    <n v="8"/>
    <n v="4664"/>
    <n v="2365"/>
    <n v="37312"/>
    <n v="18392"/>
  </r>
  <r>
    <n v="1271"/>
    <x v="140"/>
    <x v="1"/>
    <s v="Elif Kaya"/>
    <x v="4"/>
    <x v="18"/>
    <x v="0"/>
    <n v="4"/>
    <n v="11913"/>
    <n v="7140"/>
    <n v="47652"/>
    <n v="19092"/>
  </r>
  <r>
    <n v="1272"/>
    <x v="48"/>
    <x v="0"/>
    <s v="Burak Demir"/>
    <x v="4"/>
    <x v="18"/>
    <x v="0"/>
    <n v="6"/>
    <n v="6887"/>
    <n v="4447"/>
    <n v="41322"/>
    <n v="14640"/>
  </r>
  <r>
    <n v="1273"/>
    <x v="88"/>
    <x v="3"/>
    <s v="Ahmet Yılmaz"/>
    <x v="2"/>
    <x v="5"/>
    <x v="0"/>
    <n v="3"/>
    <n v="6980"/>
    <n v="5135"/>
    <n v="20940"/>
    <n v="5535"/>
  </r>
  <r>
    <n v="1274"/>
    <x v="37"/>
    <x v="2"/>
    <s v="Zeynep Çelik"/>
    <x v="0"/>
    <x v="16"/>
    <x v="4"/>
    <n v="9"/>
    <n v="2437"/>
    <n v="1791"/>
    <n v="21933"/>
    <n v="5814"/>
  </r>
  <r>
    <n v="1275"/>
    <x v="186"/>
    <x v="4"/>
    <s v="Zeynep Çelik"/>
    <x v="3"/>
    <x v="16"/>
    <x v="4"/>
    <n v="10"/>
    <n v="501"/>
    <n v="370"/>
    <n v="5010"/>
    <n v="1310"/>
  </r>
  <r>
    <n v="1276"/>
    <x v="187"/>
    <x v="1"/>
    <s v="Zeynep Çelik"/>
    <x v="0"/>
    <x v="8"/>
    <x v="3"/>
    <n v="8"/>
    <n v="965"/>
    <n v="760"/>
    <n v="7720"/>
    <n v="1640"/>
  </r>
  <r>
    <n v="1277"/>
    <x v="188"/>
    <x v="3"/>
    <s v="Emre Aydın"/>
    <x v="3"/>
    <x v="2"/>
    <x v="2"/>
    <n v="7"/>
    <n v="16534"/>
    <n v="10878"/>
    <n v="115738"/>
    <n v="39592"/>
  </r>
  <r>
    <n v="1278"/>
    <x v="136"/>
    <x v="1"/>
    <s v="Ayşe Demir"/>
    <x v="3"/>
    <x v="15"/>
    <x v="2"/>
    <n v="10"/>
    <n v="17203"/>
    <n v="12889"/>
    <n v="172030"/>
    <n v="43140"/>
  </r>
  <r>
    <n v="1279"/>
    <x v="37"/>
    <x v="2"/>
    <s v="Merve Şahin"/>
    <x v="3"/>
    <x v="16"/>
    <x v="4"/>
    <n v="7"/>
    <n v="2270"/>
    <n v="1415"/>
    <n v="15890"/>
    <n v="5985"/>
  </r>
  <r>
    <n v="1280"/>
    <x v="145"/>
    <x v="0"/>
    <s v="Seda Yıldız"/>
    <x v="1"/>
    <x v="2"/>
    <x v="2"/>
    <n v="6"/>
    <n v="22326"/>
    <n v="13522"/>
    <n v="133956"/>
    <n v="52824"/>
  </r>
  <r>
    <n v="1281"/>
    <x v="189"/>
    <x v="0"/>
    <s v="Elif Kaya"/>
    <x v="4"/>
    <x v="16"/>
    <x v="4"/>
    <n v="6"/>
    <n v="5672"/>
    <n v="3311"/>
    <n v="34032"/>
    <n v="14166"/>
  </r>
  <r>
    <n v="1282"/>
    <x v="109"/>
    <x v="1"/>
    <s v="Elif Kaya"/>
    <x v="2"/>
    <x v="19"/>
    <x v="3"/>
    <n v="8"/>
    <n v="3670"/>
    <n v="2519"/>
    <n v="29360"/>
    <n v="9208"/>
  </r>
  <r>
    <n v="1283"/>
    <x v="190"/>
    <x v="2"/>
    <s v="Mehmet Kaya"/>
    <x v="2"/>
    <x v="12"/>
    <x v="4"/>
    <n v="3"/>
    <n v="5310"/>
    <n v="2847"/>
    <n v="15930"/>
    <n v="7389"/>
  </r>
  <r>
    <n v="1284"/>
    <x v="81"/>
    <x v="3"/>
    <s v="Emre Aydın"/>
    <x v="1"/>
    <x v="7"/>
    <x v="4"/>
    <n v="9"/>
    <n v="6360"/>
    <n v="4046"/>
    <n v="57240"/>
    <n v="20826"/>
  </r>
  <r>
    <n v="1285"/>
    <x v="191"/>
    <x v="1"/>
    <s v="Mehmet Kaya"/>
    <x v="4"/>
    <x v="19"/>
    <x v="3"/>
    <n v="4"/>
    <n v="1508"/>
    <n v="823"/>
    <n v="6032"/>
    <n v="2740"/>
  </r>
  <r>
    <n v="1286"/>
    <x v="192"/>
    <x v="0"/>
    <s v="Seda Yıldız"/>
    <x v="3"/>
    <x v="10"/>
    <x v="1"/>
    <n v="1"/>
    <n v="4533"/>
    <n v="2757"/>
    <n v="4533"/>
    <n v="1776"/>
  </r>
  <r>
    <n v="1287"/>
    <x v="193"/>
    <x v="3"/>
    <s v="Can Arslan"/>
    <x v="2"/>
    <x v="13"/>
    <x v="0"/>
    <n v="8"/>
    <n v="4833"/>
    <n v="2574"/>
    <n v="38664"/>
    <n v="18072"/>
  </r>
  <r>
    <n v="1288"/>
    <x v="194"/>
    <x v="2"/>
    <s v="Seda Yıldız"/>
    <x v="0"/>
    <x v="18"/>
    <x v="0"/>
    <n v="6"/>
    <n v="9485"/>
    <n v="6957"/>
    <n v="56910"/>
    <n v="15168"/>
  </r>
  <r>
    <n v="1289"/>
    <x v="126"/>
    <x v="4"/>
    <s v="Mehmet Kaya"/>
    <x v="1"/>
    <x v="8"/>
    <x v="3"/>
    <n v="1"/>
    <n v="1813"/>
    <n v="1281"/>
    <n v="1813"/>
    <n v="532"/>
  </r>
  <r>
    <n v="1290"/>
    <x v="195"/>
    <x v="1"/>
    <s v="Can Arslan"/>
    <x v="4"/>
    <x v="2"/>
    <x v="2"/>
    <n v="8"/>
    <n v="24448"/>
    <n v="16575"/>
    <n v="195584"/>
    <n v="62984"/>
  </r>
  <r>
    <n v="1291"/>
    <x v="128"/>
    <x v="3"/>
    <s v="Seda Yıldız"/>
    <x v="2"/>
    <x v="6"/>
    <x v="4"/>
    <n v="10"/>
    <n v="6565"/>
    <n v="3413"/>
    <n v="65650"/>
    <n v="31520"/>
  </r>
  <r>
    <n v="1292"/>
    <x v="112"/>
    <x v="1"/>
    <s v="Ayşe Demir"/>
    <x v="3"/>
    <x v="7"/>
    <x v="4"/>
    <n v="8"/>
    <n v="1770"/>
    <n v="916"/>
    <n v="14160"/>
    <n v="6832"/>
  </r>
  <r>
    <n v="1293"/>
    <x v="196"/>
    <x v="2"/>
    <s v="Merve Şahin"/>
    <x v="2"/>
    <x v="6"/>
    <x v="4"/>
    <n v="5"/>
    <n v="6316"/>
    <n v="4926"/>
    <n v="31580"/>
    <n v="6950"/>
  </r>
  <r>
    <n v="1294"/>
    <x v="197"/>
    <x v="0"/>
    <s v="Mehmet Kaya"/>
    <x v="4"/>
    <x v="11"/>
    <x v="2"/>
    <n v="7"/>
    <n v="14411"/>
    <n v="10839"/>
    <n v="100877"/>
    <n v="25004"/>
  </r>
  <r>
    <n v="1295"/>
    <x v="184"/>
    <x v="0"/>
    <s v="Merve Şahin"/>
    <x v="0"/>
    <x v="4"/>
    <x v="1"/>
    <n v="2"/>
    <n v="6986"/>
    <n v="4160"/>
    <n v="13972"/>
    <n v="5652"/>
  </r>
  <r>
    <n v="1296"/>
    <x v="198"/>
    <x v="1"/>
    <s v="Mehmet Kaya"/>
    <x v="3"/>
    <x v="14"/>
    <x v="1"/>
    <n v="1"/>
    <n v="7082"/>
    <n v="3796"/>
    <n v="7082"/>
    <n v="3286"/>
  </r>
  <r>
    <n v="1297"/>
    <x v="199"/>
    <x v="2"/>
    <s v="Mehmet Kaya"/>
    <x v="0"/>
    <x v="12"/>
    <x v="4"/>
    <n v="5"/>
    <n v="4105"/>
    <n v="2688"/>
    <n v="20525"/>
    <n v="7085"/>
  </r>
  <r>
    <n v="1298"/>
    <x v="198"/>
    <x v="3"/>
    <s v="Can Arslan"/>
    <x v="4"/>
    <x v="5"/>
    <x v="0"/>
    <n v="6"/>
    <n v="9497"/>
    <n v="6584"/>
    <n v="56982"/>
    <n v="17478"/>
  </r>
  <r>
    <n v="1299"/>
    <x v="200"/>
    <x v="1"/>
    <s v="Can Arslan"/>
    <x v="2"/>
    <x v="11"/>
    <x v="2"/>
    <n v="9"/>
    <n v="20067"/>
    <n v="10472"/>
    <n v="180603"/>
    <n v="86355"/>
  </r>
  <r>
    <n v="1300"/>
    <x v="201"/>
    <x v="0"/>
    <s v="Ahmet Yılmaz"/>
    <x v="0"/>
    <x v="11"/>
    <x v="2"/>
    <n v="10"/>
    <n v="11718"/>
    <n v="5860"/>
    <n v="117180"/>
    <n v="58580"/>
  </r>
  <r>
    <n v="1301"/>
    <x v="202"/>
    <x v="3"/>
    <s v="Merve Şahin"/>
    <x v="2"/>
    <x v="18"/>
    <x v="0"/>
    <n v="7"/>
    <n v="5533"/>
    <n v="2786"/>
    <n v="38731"/>
    <n v="19229"/>
  </r>
  <r>
    <n v="1302"/>
    <x v="203"/>
    <x v="2"/>
    <s v="Mehmet Kaya"/>
    <x v="3"/>
    <x v="2"/>
    <x v="2"/>
    <n v="1"/>
    <n v="23665"/>
    <n v="17039"/>
    <n v="23665"/>
    <n v="6626"/>
  </r>
  <r>
    <n v="1303"/>
    <x v="204"/>
    <x v="4"/>
    <s v="Seda Yıldız"/>
    <x v="3"/>
    <x v="18"/>
    <x v="0"/>
    <n v="1"/>
    <n v="8837"/>
    <n v="4429"/>
    <n v="8837"/>
    <n v="4408"/>
  </r>
  <r>
    <n v="1304"/>
    <x v="138"/>
    <x v="1"/>
    <s v="Emre Aydın"/>
    <x v="2"/>
    <x v="8"/>
    <x v="3"/>
    <n v="8"/>
    <n v="2633"/>
    <n v="1995"/>
    <n v="21064"/>
    <n v="5104"/>
  </r>
  <r>
    <n v="1305"/>
    <x v="205"/>
    <x v="3"/>
    <s v="Ahmet Yılmaz"/>
    <x v="4"/>
    <x v="3"/>
    <x v="3"/>
    <n v="1"/>
    <n v="610"/>
    <n v="467"/>
    <n v="610"/>
    <n v="143"/>
  </r>
  <r>
    <n v="1306"/>
    <x v="206"/>
    <x v="1"/>
    <s v="Elif Kaya"/>
    <x v="1"/>
    <x v="8"/>
    <x v="3"/>
    <n v="8"/>
    <n v="1140"/>
    <n v="825"/>
    <n v="9120"/>
    <n v="2520"/>
  </r>
  <r>
    <n v="1307"/>
    <x v="207"/>
    <x v="2"/>
    <s v="Emre Aydın"/>
    <x v="3"/>
    <x v="11"/>
    <x v="2"/>
    <n v="6"/>
    <n v="24725"/>
    <n v="14091"/>
    <n v="148350"/>
    <n v="63804"/>
  </r>
  <r>
    <n v="1308"/>
    <x v="87"/>
    <x v="0"/>
    <s v="Emre Aydın"/>
    <x v="2"/>
    <x v="6"/>
    <x v="4"/>
    <n v="7"/>
    <n v="2819"/>
    <n v="2075"/>
    <n v="19733"/>
    <n v="5208"/>
  </r>
  <r>
    <n v="1309"/>
    <x v="17"/>
    <x v="0"/>
    <s v="Zeynep Çelik"/>
    <x v="1"/>
    <x v="5"/>
    <x v="0"/>
    <n v="5"/>
    <n v="7069"/>
    <n v="4901"/>
    <n v="35345"/>
    <n v="10840"/>
  </r>
  <r>
    <n v="1310"/>
    <x v="11"/>
    <x v="1"/>
    <s v="Mehmet Kaya"/>
    <x v="3"/>
    <x v="2"/>
    <x v="2"/>
    <n v="2"/>
    <n v="19576"/>
    <n v="10391"/>
    <n v="39152"/>
    <n v="18370"/>
  </r>
  <r>
    <n v="1311"/>
    <x v="208"/>
    <x v="2"/>
    <s v="Emre Aydın"/>
    <x v="4"/>
    <x v="3"/>
    <x v="3"/>
    <n v="3"/>
    <n v="1059"/>
    <n v="631"/>
    <n v="3177"/>
    <n v="1284"/>
  </r>
  <r>
    <n v="1312"/>
    <x v="209"/>
    <x v="3"/>
    <s v="Emre Aydın"/>
    <x v="4"/>
    <x v="11"/>
    <x v="2"/>
    <n v="10"/>
    <n v="23644"/>
    <n v="18668"/>
    <n v="236440"/>
    <n v="49760"/>
  </r>
  <r>
    <n v="1313"/>
    <x v="210"/>
    <x v="1"/>
    <s v="Mehmet Kaya"/>
    <x v="2"/>
    <x v="4"/>
    <x v="1"/>
    <n v="8"/>
    <n v="4845"/>
    <n v="2943"/>
    <n v="38760"/>
    <n v="15216"/>
  </r>
  <r>
    <n v="1314"/>
    <x v="211"/>
    <x v="0"/>
    <s v="Burak Demir"/>
    <x v="4"/>
    <x v="12"/>
    <x v="4"/>
    <n v="5"/>
    <n v="3337"/>
    <n v="1775"/>
    <n v="16685"/>
    <n v="7810"/>
  </r>
  <r>
    <n v="1315"/>
    <x v="108"/>
    <x v="3"/>
    <s v="Elif Kaya"/>
    <x v="0"/>
    <x v="16"/>
    <x v="4"/>
    <n v="7"/>
    <n v="5312"/>
    <n v="3326"/>
    <n v="37184"/>
    <n v="13902"/>
  </r>
  <r>
    <n v="1316"/>
    <x v="31"/>
    <x v="2"/>
    <s v="Burak Demir"/>
    <x v="1"/>
    <x v="7"/>
    <x v="4"/>
    <n v="2"/>
    <n v="5179"/>
    <n v="2783"/>
    <n v="10358"/>
    <n v="4792"/>
  </r>
  <r>
    <n v="1317"/>
    <x v="111"/>
    <x v="4"/>
    <s v="Seda Yıldız"/>
    <x v="1"/>
    <x v="3"/>
    <x v="3"/>
    <n v="7"/>
    <n v="1918"/>
    <n v="1037"/>
    <n v="13426"/>
    <n v="6167"/>
  </r>
  <r>
    <n v="1318"/>
    <x v="32"/>
    <x v="1"/>
    <s v="Ayşe Demir"/>
    <x v="2"/>
    <x v="16"/>
    <x v="4"/>
    <n v="2"/>
    <n v="4837"/>
    <n v="2742"/>
    <n v="9674"/>
    <n v="4190"/>
  </r>
  <r>
    <n v="1319"/>
    <x v="212"/>
    <x v="3"/>
    <s v="Ahmet Yılmaz"/>
    <x v="1"/>
    <x v="2"/>
    <x v="2"/>
    <n v="2"/>
    <n v="13794"/>
    <n v="9169"/>
    <n v="27588"/>
    <n v="9250"/>
  </r>
  <r>
    <n v="1320"/>
    <x v="213"/>
    <x v="1"/>
    <s v="Can Arslan"/>
    <x v="1"/>
    <x v="17"/>
    <x v="2"/>
    <n v="1"/>
    <n v="16755"/>
    <n v="10806"/>
    <n v="16755"/>
    <n v="5949"/>
  </r>
  <r>
    <n v="1321"/>
    <x v="64"/>
    <x v="2"/>
    <s v="Elif Kaya"/>
    <x v="4"/>
    <x v="1"/>
    <x v="1"/>
    <n v="5"/>
    <n v="6342"/>
    <n v="3777"/>
    <n v="31710"/>
    <n v="12825"/>
  </r>
  <r>
    <n v="1322"/>
    <x v="214"/>
    <x v="0"/>
    <s v="Ayşe Demir"/>
    <x v="1"/>
    <x v="10"/>
    <x v="1"/>
    <n v="9"/>
    <n v="3909"/>
    <n v="2498"/>
    <n v="35181"/>
    <n v="12699"/>
  </r>
  <r>
    <n v="1323"/>
    <x v="215"/>
    <x v="0"/>
    <s v="Elif Kaya"/>
    <x v="4"/>
    <x v="4"/>
    <x v="1"/>
    <n v="3"/>
    <n v="2361"/>
    <n v="1213"/>
    <n v="7083"/>
    <n v="3444"/>
  </r>
  <r>
    <n v="1324"/>
    <x v="45"/>
    <x v="1"/>
    <s v="Zeynep Çelik"/>
    <x v="3"/>
    <x v="17"/>
    <x v="2"/>
    <n v="7"/>
    <n v="6913"/>
    <n v="5396"/>
    <n v="48391"/>
    <n v="10619"/>
  </r>
  <r>
    <n v="1325"/>
    <x v="216"/>
    <x v="2"/>
    <s v="Ahmet Yılmaz"/>
    <x v="4"/>
    <x v="13"/>
    <x v="0"/>
    <n v="9"/>
    <n v="8478"/>
    <n v="6667"/>
    <n v="76302"/>
    <n v="16299"/>
  </r>
  <r>
    <n v="1326"/>
    <x v="156"/>
    <x v="3"/>
    <s v="Ayşe Demir"/>
    <x v="3"/>
    <x v="19"/>
    <x v="3"/>
    <n v="7"/>
    <n v="3002"/>
    <n v="1587"/>
    <n v="21014"/>
    <n v="9905"/>
  </r>
  <r>
    <n v="1327"/>
    <x v="38"/>
    <x v="1"/>
    <s v="Elif Kaya"/>
    <x v="4"/>
    <x v="14"/>
    <x v="1"/>
    <n v="10"/>
    <n v="4101"/>
    <n v="2754"/>
    <n v="41010"/>
    <n v="13470"/>
  </r>
  <r>
    <n v="1328"/>
    <x v="217"/>
    <x v="0"/>
    <s v="Zeynep Çelik"/>
    <x v="0"/>
    <x v="1"/>
    <x v="1"/>
    <n v="8"/>
    <n v="4724"/>
    <n v="2734"/>
    <n v="37792"/>
    <n v="15920"/>
  </r>
  <r>
    <n v="1329"/>
    <x v="218"/>
    <x v="3"/>
    <s v="Ayşe Demir"/>
    <x v="3"/>
    <x v="5"/>
    <x v="0"/>
    <n v="7"/>
    <n v="5954"/>
    <n v="4482"/>
    <n v="41678"/>
    <n v="10304"/>
  </r>
  <r>
    <n v="1330"/>
    <x v="219"/>
    <x v="2"/>
    <s v="Burak Demir"/>
    <x v="0"/>
    <x v="5"/>
    <x v="0"/>
    <n v="3"/>
    <n v="7099"/>
    <n v="4509"/>
    <n v="21297"/>
    <n v="7770"/>
  </r>
  <r>
    <n v="1331"/>
    <x v="220"/>
    <x v="4"/>
    <s v="Burak Demir"/>
    <x v="1"/>
    <x v="5"/>
    <x v="0"/>
    <n v="9"/>
    <n v="5835"/>
    <n v="4296"/>
    <n v="52515"/>
    <n v="13851"/>
  </r>
  <r>
    <n v="1332"/>
    <x v="221"/>
    <x v="1"/>
    <s v="Mehmet Kaya"/>
    <x v="1"/>
    <x v="9"/>
    <x v="3"/>
    <n v="1"/>
    <n v="2003"/>
    <n v="1090"/>
    <n v="2003"/>
    <n v="913"/>
  </r>
  <r>
    <n v="1333"/>
    <x v="26"/>
    <x v="3"/>
    <s v="Elif Kaya"/>
    <x v="2"/>
    <x v="5"/>
    <x v="0"/>
    <n v="8"/>
    <n v="11625"/>
    <n v="7481"/>
    <n v="93000"/>
    <n v="33152"/>
  </r>
  <r>
    <n v="1334"/>
    <x v="222"/>
    <x v="1"/>
    <s v="Merve Şahin"/>
    <x v="4"/>
    <x v="10"/>
    <x v="1"/>
    <n v="2"/>
    <n v="5377"/>
    <n v="3511"/>
    <n v="10754"/>
    <n v="3732"/>
  </r>
  <r>
    <n v="1335"/>
    <x v="131"/>
    <x v="2"/>
    <s v="Burak Demir"/>
    <x v="1"/>
    <x v="15"/>
    <x v="2"/>
    <n v="7"/>
    <n v="14928"/>
    <n v="8091"/>
    <n v="104496"/>
    <n v="47859"/>
  </r>
  <r>
    <n v="1336"/>
    <x v="201"/>
    <x v="0"/>
    <s v="Ahmet Yılmaz"/>
    <x v="2"/>
    <x v="10"/>
    <x v="1"/>
    <n v="3"/>
    <n v="2263"/>
    <n v="1291"/>
    <n v="6789"/>
    <n v="2916"/>
  </r>
  <r>
    <n v="1337"/>
    <x v="223"/>
    <x v="0"/>
    <s v="Ayşe Demir"/>
    <x v="3"/>
    <x v="6"/>
    <x v="4"/>
    <n v="7"/>
    <n v="3840"/>
    <n v="2832"/>
    <n v="26880"/>
    <n v="7056"/>
  </r>
  <r>
    <n v="1338"/>
    <x v="196"/>
    <x v="1"/>
    <s v="Zeynep Çelik"/>
    <x v="2"/>
    <x v="13"/>
    <x v="0"/>
    <n v="3"/>
    <n v="3580"/>
    <n v="2218"/>
    <n v="10740"/>
    <n v="4086"/>
  </r>
  <r>
    <n v="1339"/>
    <x v="96"/>
    <x v="2"/>
    <s v="Elif Kaya"/>
    <x v="2"/>
    <x v="16"/>
    <x v="4"/>
    <n v="10"/>
    <n v="1333"/>
    <n v="907"/>
    <n v="13330"/>
    <n v="4260"/>
  </r>
  <r>
    <n v="1340"/>
    <x v="224"/>
    <x v="3"/>
    <s v="Elif Kaya"/>
    <x v="2"/>
    <x v="11"/>
    <x v="2"/>
    <n v="4"/>
    <n v="7831"/>
    <n v="4032"/>
    <n v="31324"/>
    <n v="15196"/>
  </r>
  <r>
    <n v="1341"/>
    <x v="225"/>
    <x v="1"/>
    <s v="Can Arslan"/>
    <x v="0"/>
    <x v="3"/>
    <x v="3"/>
    <n v="7"/>
    <n v="3232"/>
    <n v="2118"/>
    <n v="22624"/>
    <n v="7798"/>
  </r>
  <r>
    <n v="1342"/>
    <x v="203"/>
    <x v="0"/>
    <s v="Burak Demir"/>
    <x v="2"/>
    <x v="18"/>
    <x v="0"/>
    <n v="8"/>
    <n v="6387"/>
    <n v="5030"/>
    <n v="51096"/>
    <n v="10856"/>
  </r>
  <r>
    <n v="1343"/>
    <x v="226"/>
    <x v="3"/>
    <s v="Elif Kaya"/>
    <x v="3"/>
    <x v="19"/>
    <x v="3"/>
    <n v="5"/>
    <n v="2329"/>
    <n v="1547"/>
    <n v="11645"/>
    <n v="3910"/>
  </r>
  <r>
    <n v="1344"/>
    <x v="26"/>
    <x v="2"/>
    <s v="Emre Aydın"/>
    <x v="4"/>
    <x v="11"/>
    <x v="2"/>
    <n v="3"/>
    <n v="24475"/>
    <n v="18770"/>
    <n v="73425"/>
    <n v="17115"/>
  </r>
  <r>
    <n v="1345"/>
    <x v="149"/>
    <x v="4"/>
    <s v="Merve Şahin"/>
    <x v="1"/>
    <x v="12"/>
    <x v="4"/>
    <n v="9"/>
    <n v="5572"/>
    <n v="3550"/>
    <n v="50148"/>
    <n v="18198"/>
  </r>
  <r>
    <n v="1346"/>
    <x v="227"/>
    <x v="1"/>
    <s v="Ahmet Yılmaz"/>
    <x v="1"/>
    <x v="5"/>
    <x v="0"/>
    <n v="1"/>
    <n v="5275"/>
    <n v="3437"/>
    <n v="5275"/>
    <n v="1838"/>
  </r>
  <r>
    <n v="1347"/>
    <x v="212"/>
    <x v="3"/>
    <s v="Mehmet Kaya"/>
    <x v="0"/>
    <x v="12"/>
    <x v="4"/>
    <n v="8"/>
    <n v="3818"/>
    <n v="2257"/>
    <n v="30544"/>
    <n v="12488"/>
  </r>
  <r>
    <n v="1348"/>
    <x v="228"/>
    <x v="1"/>
    <s v="Ayşe Demir"/>
    <x v="3"/>
    <x v="1"/>
    <x v="1"/>
    <n v="4"/>
    <n v="2361"/>
    <n v="1404"/>
    <n v="9444"/>
    <n v="3828"/>
  </r>
  <r>
    <n v="1349"/>
    <x v="4"/>
    <x v="2"/>
    <s v="Zeynep Çelik"/>
    <x v="3"/>
    <x v="3"/>
    <x v="3"/>
    <n v="8"/>
    <n v="3866"/>
    <n v="3068"/>
    <n v="30928"/>
    <n v="6384"/>
  </r>
  <r>
    <n v="1350"/>
    <x v="229"/>
    <x v="0"/>
    <s v="Seda Yıldız"/>
    <x v="3"/>
    <x v="16"/>
    <x v="4"/>
    <n v="7"/>
    <n v="5542"/>
    <n v="3490"/>
    <n v="38794"/>
    <n v="14364"/>
  </r>
  <r>
    <n v="1351"/>
    <x v="33"/>
    <x v="0"/>
    <s v="Elif Kaya"/>
    <x v="4"/>
    <x v="15"/>
    <x v="2"/>
    <n v="2"/>
    <n v="13433"/>
    <n v="7074"/>
    <n v="26866"/>
    <n v="12718"/>
  </r>
  <r>
    <n v="1352"/>
    <x v="230"/>
    <x v="1"/>
    <s v="Burak Demir"/>
    <x v="3"/>
    <x v="14"/>
    <x v="1"/>
    <n v="10"/>
    <n v="7229"/>
    <n v="4842"/>
    <n v="72290"/>
    <n v="23870"/>
  </r>
  <r>
    <n v="1353"/>
    <x v="231"/>
    <x v="2"/>
    <s v="Burak Demir"/>
    <x v="3"/>
    <x v="12"/>
    <x v="4"/>
    <n v="10"/>
    <n v="1949"/>
    <n v="1145"/>
    <n v="19490"/>
    <n v="8040"/>
  </r>
  <r>
    <n v="1354"/>
    <x v="215"/>
    <x v="3"/>
    <s v="Zeynep Çelik"/>
    <x v="2"/>
    <x v="10"/>
    <x v="1"/>
    <n v="1"/>
    <n v="6630"/>
    <n v="5066"/>
    <n v="6630"/>
    <n v="1564"/>
  </r>
  <r>
    <n v="1355"/>
    <x v="232"/>
    <x v="1"/>
    <s v="Ahmet Yılmaz"/>
    <x v="4"/>
    <x v="13"/>
    <x v="0"/>
    <n v="1"/>
    <n v="1774"/>
    <n v="989"/>
    <n v="1774"/>
    <n v="785"/>
  </r>
  <r>
    <n v="1356"/>
    <x v="233"/>
    <x v="0"/>
    <s v="Ahmet Yılmaz"/>
    <x v="4"/>
    <x v="3"/>
    <x v="3"/>
    <n v="5"/>
    <n v="907"/>
    <n v="695"/>
    <n v="4535"/>
    <n v="1060"/>
  </r>
  <r>
    <n v="1357"/>
    <x v="232"/>
    <x v="3"/>
    <s v="Ayşe Demir"/>
    <x v="0"/>
    <x v="16"/>
    <x v="4"/>
    <n v="5"/>
    <n v="6364"/>
    <n v="3962"/>
    <n v="31820"/>
    <n v="12010"/>
  </r>
  <r>
    <n v="1358"/>
    <x v="153"/>
    <x v="2"/>
    <s v="Zeynep Çelik"/>
    <x v="1"/>
    <x v="1"/>
    <x v="1"/>
    <n v="2"/>
    <n v="6843"/>
    <n v="4942"/>
    <n v="13686"/>
    <n v="3802"/>
  </r>
  <r>
    <n v="1359"/>
    <x v="223"/>
    <x v="4"/>
    <s v="Elif Kaya"/>
    <x v="2"/>
    <x v="1"/>
    <x v="1"/>
    <n v="1"/>
    <n v="4764"/>
    <n v="3053"/>
    <n v="4764"/>
    <n v="1711"/>
  </r>
  <r>
    <n v="1360"/>
    <x v="234"/>
    <x v="1"/>
    <s v="Merve Şahin"/>
    <x v="2"/>
    <x v="7"/>
    <x v="4"/>
    <n v="6"/>
    <n v="3345"/>
    <n v="1886"/>
    <n v="20070"/>
    <n v="8754"/>
  </r>
  <r>
    <n v="1361"/>
    <x v="106"/>
    <x v="3"/>
    <s v="Ayşe Demir"/>
    <x v="1"/>
    <x v="8"/>
    <x v="3"/>
    <n v="3"/>
    <n v="2137"/>
    <n v="1241"/>
    <n v="6411"/>
    <n v="2688"/>
  </r>
  <r>
    <n v="1362"/>
    <x v="235"/>
    <x v="1"/>
    <s v="Ahmet Yılmaz"/>
    <x v="3"/>
    <x v="13"/>
    <x v="0"/>
    <n v="9"/>
    <n v="11579"/>
    <n v="7817"/>
    <n v="104211"/>
    <n v="33858"/>
  </r>
  <r>
    <n v="1363"/>
    <x v="48"/>
    <x v="2"/>
    <s v="Mehmet Kaya"/>
    <x v="3"/>
    <x v="19"/>
    <x v="3"/>
    <n v="6"/>
    <n v="1684"/>
    <n v="923"/>
    <n v="10104"/>
    <n v="4566"/>
  </r>
  <r>
    <n v="1364"/>
    <x v="236"/>
    <x v="0"/>
    <s v="Ayşe Demir"/>
    <x v="4"/>
    <x v="9"/>
    <x v="3"/>
    <n v="10"/>
    <n v="2529"/>
    <n v="1722"/>
    <n v="25290"/>
    <n v="8070"/>
  </r>
  <r>
    <n v="1365"/>
    <x v="237"/>
    <x v="0"/>
    <s v="Burak Demir"/>
    <x v="4"/>
    <x v="2"/>
    <x v="2"/>
    <n v="5"/>
    <n v="13097"/>
    <n v="9313"/>
    <n v="65485"/>
    <n v="18920"/>
  </r>
  <r>
    <n v="1366"/>
    <x v="232"/>
    <x v="1"/>
    <s v="Seda Yıldız"/>
    <x v="4"/>
    <x v="10"/>
    <x v="1"/>
    <n v="10"/>
    <n v="7840"/>
    <n v="4231"/>
    <n v="78400"/>
    <n v="36090"/>
  </r>
  <r>
    <n v="1367"/>
    <x v="34"/>
    <x v="2"/>
    <s v="Burak Demir"/>
    <x v="1"/>
    <x v="3"/>
    <x v="3"/>
    <n v="9"/>
    <n v="2213"/>
    <n v="1500"/>
    <n v="19917"/>
    <n v="6417"/>
  </r>
  <r>
    <n v="1368"/>
    <x v="238"/>
    <x v="3"/>
    <s v="Seda Yıldız"/>
    <x v="1"/>
    <x v="6"/>
    <x v="4"/>
    <n v="8"/>
    <n v="904"/>
    <n v="615"/>
    <n v="7232"/>
    <n v="2312"/>
  </r>
  <r>
    <n v="1369"/>
    <x v="239"/>
    <x v="1"/>
    <s v="Ahmet Yılmaz"/>
    <x v="3"/>
    <x v="0"/>
    <x v="0"/>
    <n v="3"/>
    <n v="9888"/>
    <n v="5060"/>
    <n v="29664"/>
    <n v="14484"/>
  </r>
  <r>
    <n v="1370"/>
    <x v="156"/>
    <x v="0"/>
    <s v="Zeynep Çelik"/>
    <x v="0"/>
    <x v="0"/>
    <x v="0"/>
    <n v="2"/>
    <n v="11424"/>
    <n v="8730"/>
    <n v="22848"/>
    <n v="5388"/>
  </r>
  <r>
    <n v="1371"/>
    <x v="193"/>
    <x v="3"/>
    <s v="Emre Aydın"/>
    <x v="3"/>
    <x v="19"/>
    <x v="3"/>
    <n v="5"/>
    <n v="1637"/>
    <n v="1230"/>
    <n v="8185"/>
    <n v="2035"/>
  </r>
  <r>
    <n v="1372"/>
    <x v="240"/>
    <x v="2"/>
    <s v="Can Arslan"/>
    <x v="0"/>
    <x v="15"/>
    <x v="2"/>
    <n v="4"/>
    <n v="7483"/>
    <n v="5196"/>
    <n v="29932"/>
    <n v="9148"/>
  </r>
  <r>
    <n v="1373"/>
    <x v="241"/>
    <x v="4"/>
    <s v="Mehmet Kaya"/>
    <x v="0"/>
    <x v="17"/>
    <x v="2"/>
    <n v="7"/>
    <n v="7545"/>
    <n v="3940"/>
    <n v="52815"/>
    <n v="25235"/>
  </r>
  <r>
    <n v="1374"/>
    <x v="242"/>
    <x v="1"/>
    <s v="Ahmet Yılmaz"/>
    <x v="3"/>
    <x v="9"/>
    <x v="3"/>
    <n v="6"/>
    <n v="1643"/>
    <n v="1089"/>
    <n v="9858"/>
    <n v="3324"/>
  </r>
  <r>
    <n v="1375"/>
    <x v="85"/>
    <x v="3"/>
    <s v="Ahmet Yılmaz"/>
    <x v="0"/>
    <x v="11"/>
    <x v="2"/>
    <n v="7"/>
    <n v="16863"/>
    <n v="11120"/>
    <n v="118041"/>
    <n v="40201"/>
  </r>
  <r>
    <n v="1376"/>
    <x v="92"/>
    <x v="1"/>
    <s v="Seda Yıldız"/>
    <x v="2"/>
    <x v="8"/>
    <x v="3"/>
    <n v="8"/>
    <n v="323"/>
    <n v="225"/>
    <n v="2584"/>
    <n v="784"/>
  </r>
  <r>
    <n v="1377"/>
    <x v="55"/>
    <x v="2"/>
    <s v="Elif Kaya"/>
    <x v="4"/>
    <x v="17"/>
    <x v="2"/>
    <n v="6"/>
    <n v="5210"/>
    <n v="3494"/>
    <n v="31260"/>
    <n v="10296"/>
  </r>
  <r>
    <n v="1378"/>
    <x v="168"/>
    <x v="0"/>
    <s v="Merve Şahin"/>
    <x v="2"/>
    <x v="18"/>
    <x v="0"/>
    <n v="9"/>
    <n v="8114"/>
    <n v="5757"/>
    <n v="73026"/>
    <n v="21213"/>
  </r>
  <r>
    <n v="1379"/>
    <x v="29"/>
    <x v="0"/>
    <s v="Burak Demir"/>
    <x v="1"/>
    <x v="5"/>
    <x v="0"/>
    <n v="6"/>
    <n v="11486"/>
    <n v="8883"/>
    <n v="68916"/>
    <n v="15618"/>
  </r>
  <r>
    <n v="1380"/>
    <x v="226"/>
    <x v="1"/>
    <s v="Mehmet Kaya"/>
    <x v="3"/>
    <x v="15"/>
    <x v="2"/>
    <n v="7"/>
    <n v="21660"/>
    <n v="11936"/>
    <n v="151620"/>
    <n v="68068"/>
  </r>
  <r>
    <n v="1381"/>
    <x v="243"/>
    <x v="2"/>
    <s v="Ayşe Demir"/>
    <x v="3"/>
    <x v="18"/>
    <x v="0"/>
    <n v="10"/>
    <n v="2993"/>
    <n v="1652"/>
    <n v="29930"/>
    <n v="13410"/>
  </r>
  <r>
    <n v="1382"/>
    <x v="244"/>
    <x v="3"/>
    <s v="Emre Aydın"/>
    <x v="0"/>
    <x v="17"/>
    <x v="2"/>
    <n v="1"/>
    <n v="12645"/>
    <n v="8171"/>
    <n v="12645"/>
    <n v="4474"/>
  </r>
  <r>
    <n v="1383"/>
    <x v="178"/>
    <x v="1"/>
    <s v="Elif Kaya"/>
    <x v="2"/>
    <x v="3"/>
    <x v="3"/>
    <n v="7"/>
    <n v="2609"/>
    <n v="1806"/>
    <n v="18263"/>
    <n v="5621"/>
  </r>
  <r>
    <n v="1384"/>
    <x v="245"/>
    <x v="0"/>
    <s v="Can Arslan"/>
    <x v="1"/>
    <x v="3"/>
    <x v="3"/>
    <n v="9"/>
    <n v="3479"/>
    <n v="2341"/>
    <n v="31311"/>
    <n v="10242"/>
  </r>
  <r>
    <n v="1385"/>
    <x v="172"/>
    <x v="3"/>
    <s v="Emre Aydın"/>
    <x v="3"/>
    <x v="8"/>
    <x v="3"/>
    <n v="9"/>
    <n v="2254"/>
    <n v="1698"/>
    <n v="20286"/>
    <n v="5004"/>
  </r>
  <r>
    <n v="1386"/>
    <x v="211"/>
    <x v="2"/>
    <s v="Can Arslan"/>
    <x v="4"/>
    <x v="12"/>
    <x v="4"/>
    <n v="3"/>
    <n v="3558"/>
    <n v="1845"/>
    <n v="10674"/>
    <n v="5139"/>
  </r>
  <r>
    <n v="1387"/>
    <x v="54"/>
    <x v="4"/>
    <s v="Burak Demir"/>
    <x v="0"/>
    <x v="5"/>
    <x v="0"/>
    <n v="1"/>
    <n v="8406"/>
    <n v="6715"/>
    <n v="8406"/>
    <n v="1691"/>
  </r>
  <r>
    <n v="1388"/>
    <x v="246"/>
    <x v="1"/>
    <s v="Emre Aydın"/>
    <x v="1"/>
    <x v="5"/>
    <x v="0"/>
    <n v="9"/>
    <n v="11277"/>
    <n v="7262"/>
    <n v="101493"/>
    <n v="36135"/>
  </r>
  <r>
    <n v="1389"/>
    <x v="218"/>
    <x v="3"/>
    <s v="Mehmet Kaya"/>
    <x v="2"/>
    <x v="3"/>
    <x v="3"/>
    <n v="1"/>
    <n v="2234"/>
    <n v="1422"/>
    <n v="2234"/>
    <n v="812"/>
  </r>
  <r>
    <n v="1390"/>
    <x v="112"/>
    <x v="1"/>
    <s v="Seda Yıldız"/>
    <x v="0"/>
    <x v="8"/>
    <x v="3"/>
    <n v="7"/>
    <n v="596"/>
    <n v="390"/>
    <n v="4172"/>
    <n v="1442"/>
  </r>
  <r>
    <n v="1391"/>
    <x v="247"/>
    <x v="2"/>
    <s v="Ahmet Yılmaz"/>
    <x v="3"/>
    <x v="13"/>
    <x v="0"/>
    <n v="5"/>
    <n v="8842"/>
    <n v="4737"/>
    <n v="44210"/>
    <n v="20525"/>
  </r>
  <r>
    <n v="1392"/>
    <x v="191"/>
    <x v="0"/>
    <s v="Zeynep Çelik"/>
    <x v="0"/>
    <x v="17"/>
    <x v="2"/>
    <n v="5"/>
    <n v="10108"/>
    <n v="7814"/>
    <n v="50540"/>
    <n v="11470"/>
  </r>
  <r>
    <n v="1393"/>
    <x v="149"/>
    <x v="0"/>
    <s v="Zeynep Çelik"/>
    <x v="0"/>
    <x v="12"/>
    <x v="4"/>
    <n v="5"/>
    <n v="3099"/>
    <n v="2232"/>
    <n v="15495"/>
    <n v="4335"/>
  </r>
  <r>
    <n v="1394"/>
    <x v="33"/>
    <x v="1"/>
    <s v="Ayşe Demir"/>
    <x v="1"/>
    <x v="9"/>
    <x v="3"/>
    <n v="3"/>
    <n v="3873"/>
    <n v="2168"/>
    <n v="11619"/>
    <n v="5115"/>
  </r>
  <r>
    <n v="1395"/>
    <x v="248"/>
    <x v="2"/>
    <s v="Can Arslan"/>
    <x v="1"/>
    <x v="10"/>
    <x v="1"/>
    <n v="10"/>
    <n v="2345"/>
    <n v="1358"/>
    <n v="23450"/>
    <n v="9870"/>
  </r>
  <r>
    <n v="1396"/>
    <x v="34"/>
    <x v="3"/>
    <s v="Seda Yıldız"/>
    <x v="2"/>
    <x v="17"/>
    <x v="2"/>
    <n v="4"/>
    <n v="17479"/>
    <n v="12390"/>
    <n v="69916"/>
    <n v="20356"/>
  </r>
  <r>
    <n v="1397"/>
    <x v="110"/>
    <x v="1"/>
    <s v="Merve Şahin"/>
    <x v="3"/>
    <x v="12"/>
    <x v="4"/>
    <n v="7"/>
    <n v="5959"/>
    <n v="4466"/>
    <n v="41713"/>
    <n v="10451"/>
  </r>
  <r>
    <n v="1398"/>
    <x v="201"/>
    <x v="0"/>
    <s v="Ahmet Yılmaz"/>
    <x v="1"/>
    <x v="0"/>
    <x v="0"/>
    <n v="2"/>
    <n v="10626"/>
    <n v="7384"/>
    <n v="21252"/>
    <n v="6484"/>
  </r>
  <r>
    <n v="1399"/>
    <x v="68"/>
    <x v="3"/>
    <s v="Zeynep Çelik"/>
    <x v="2"/>
    <x v="4"/>
    <x v="1"/>
    <n v="3"/>
    <n v="7360"/>
    <n v="4028"/>
    <n v="22080"/>
    <n v="9996"/>
  </r>
  <r>
    <n v="1400"/>
    <x v="249"/>
    <x v="2"/>
    <s v="Mehmet Kaya"/>
    <x v="4"/>
    <x v="18"/>
    <x v="0"/>
    <n v="3"/>
    <n v="4037"/>
    <n v="2704"/>
    <n v="12111"/>
    <n v="3999"/>
  </r>
  <r>
    <n v="1401"/>
    <x v="37"/>
    <x v="4"/>
    <s v="Zeynep Çelik"/>
    <x v="0"/>
    <x v="7"/>
    <x v="4"/>
    <n v="8"/>
    <n v="4530"/>
    <n v="3600"/>
    <n v="36240"/>
    <n v="7440"/>
  </r>
  <r>
    <n v="1402"/>
    <x v="136"/>
    <x v="1"/>
    <s v="Can Arslan"/>
    <x v="1"/>
    <x v="5"/>
    <x v="0"/>
    <n v="6"/>
    <n v="2038"/>
    <n v="1525"/>
    <n v="12228"/>
    <n v="3078"/>
  </r>
  <r>
    <n v="1403"/>
    <x v="26"/>
    <x v="3"/>
    <s v="Seda Yıldız"/>
    <x v="4"/>
    <x v="4"/>
    <x v="1"/>
    <n v="8"/>
    <n v="5073"/>
    <n v="2941"/>
    <n v="40584"/>
    <n v="17056"/>
  </r>
  <r>
    <n v="1404"/>
    <x v="109"/>
    <x v="1"/>
    <s v="Burak Demir"/>
    <x v="2"/>
    <x v="11"/>
    <x v="2"/>
    <n v="5"/>
    <n v="18807"/>
    <n v="12176"/>
    <n v="94035"/>
    <n v="33155"/>
  </r>
  <r>
    <n v="1405"/>
    <x v="250"/>
    <x v="2"/>
    <s v="Merve Şahin"/>
    <x v="0"/>
    <x v="1"/>
    <x v="1"/>
    <n v="4"/>
    <n v="1301"/>
    <n v="857"/>
    <n v="5204"/>
    <n v="1776"/>
  </r>
  <r>
    <n v="1406"/>
    <x v="251"/>
    <x v="0"/>
    <s v="Burak Demir"/>
    <x v="2"/>
    <x v="4"/>
    <x v="1"/>
    <n v="6"/>
    <n v="3053"/>
    <n v="2154"/>
    <n v="18318"/>
    <n v="5394"/>
  </r>
  <r>
    <n v="1407"/>
    <x v="252"/>
    <x v="0"/>
    <s v="Zeynep Çelik"/>
    <x v="2"/>
    <x v="12"/>
    <x v="4"/>
    <n v="3"/>
    <n v="1166"/>
    <n v="776"/>
    <n v="3498"/>
    <n v="1170"/>
  </r>
  <r>
    <n v="1408"/>
    <x v="130"/>
    <x v="1"/>
    <s v="Merve Şahin"/>
    <x v="2"/>
    <x v="4"/>
    <x v="1"/>
    <n v="9"/>
    <n v="5489"/>
    <n v="3536"/>
    <n v="49401"/>
    <n v="17577"/>
  </r>
  <r>
    <n v="1409"/>
    <x v="253"/>
    <x v="2"/>
    <s v="Seda Yıldız"/>
    <x v="0"/>
    <x v="3"/>
    <x v="3"/>
    <n v="3"/>
    <n v="534"/>
    <n v="299"/>
    <n v="1602"/>
    <n v="705"/>
  </r>
  <r>
    <n v="1410"/>
    <x v="28"/>
    <x v="3"/>
    <s v="Merve Şahin"/>
    <x v="1"/>
    <x v="13"/>
    <x v="0"/>
    <n v="7"/>
    <n v="11633"/>
    <n v="9062"/>
    <n v="81431"/>
    <n v="17997"/>
  </r>
  <r>
    <n v="1411"/>
    <x v="131"/>
    <x v="1"/>
    <s v="Ahmet Yılmaz"/>
    <x v="3"/>
    <x v="13"/>
    <x v="0"/>
    <n v="5"/>
    <n v="8737"/>
    <n v="6964"/>
    <n v="43685"/>
    <n v="8865"/>
  </r>
  <r>
    <n v="1412"/>
    <x v="254"/>
    <x v="0"/>
    <s v="Mehmet Kaya"/>
    <x v="0"/>
    <x v="0"/>
    <x v="0"/>
    <n v="8"/>
    <n v="3298"/>
    <n v="2220"/>
    <n v="26384"/>
    <n v="8624"/>
  </r>
  <r>
    <n v="1413"/>
    <x v="251"/>
    <x v="3"/>
    <s v="Elif Kaya"/>
    <x v="2"/>
    <x v="15"/>
    <x v="2"/>
    <n v="5"/>
    <n v="22770"/>
    <n v="12630"/>
    <n v="113850"/>
    <n v="50700"/>
  </r>
  <r>
    <n v="1414"/>
    <x v="255"/>
    <x v="2"/>
    <s v="Seda Yıldız"/>
    <x v="3"/>
    <x v="18"/>
    <x v="0"/>
    <n v="2"/>
    <n v="6400"/>
    <n v="3993"/>
    <n v="12800"/>
    <n v="4814"/>
  </r>
  <r>
    <n v="1415"/>
    <x v="112"/>
    <x v="4"/>
    <s v="Burak Demir"/>
    <x v="3"/>
    <x v="4"/>
    <x v="1"/>
    <n v="9"/>
    <n v="7470"/>
    <n v="4889"/>
    <n v="67230"/>
    <n v="23229"/>
  </r>
  <r>
    <n v="1416"/>
    <x v="239"/>
    <x v="1"/>
    <s v="Elif Kaya"/>
    <x v="1"/>
    <x v="19"/>
    <x v="3"/>
    <n v="7"/>
    <n v="960"/>
    <n v="747"/>
    <n v="6720"/>
    <n v="1491"/>
  </r>
  <r>
    <n v="1417"/>
    <x v="230"/>
    <x v="3"/>
    <s v="Zeynep Çelik"/>
    <x v="0"/>
    <x v="4"/>
    <x v="1"/>
    <n v="5"/>
    <n v="3666"/>
    <n v="2343"/>
    <n v="18330"/>
    <n v="6615"/>
  </r>
  <r>
    <n v="1418"/>
    <x v="37"/>
    <x v="1"/>
    <s v="Ahmet Yılmaz"/>
    <x v="2"/>
    <x v="18"/>
    <x v="0"/>
    <n v="6"/>
    <n v="10210"/>
    <n v="5655"/>
    <n v="61260"/>
    <n v="27330"/>
  </r>
  <r>
    <n v="1419"/>
    <x v="201"/>
    <x v="2"/>
    <s v="Ahmet Yılmaz"/>
    <x v="4"/>
    <x v="18"/>
    <x v="0"/>
    <n v="6"/>
    <n v="3033"/>
    <n v="1764"/>
    <n v="18198"/>
    <n v="7614"/>
  </r>
  <r>
    <n v="1420"/>
    <x v="197"/>
    <x v="0"/>
    <s v="Emre Aydın"/>
    <x v="1"/>
    <x v="2"/>
    <x v="2"/>
    <n v="6"/>
    <n v="18295"/>
    <n v="12358"/>
    <n v="109770"/>
    <n v="35622"/>
  </r>
  <r>
    <n v="1421"/>
    <x v="146"/>
    <x v="0"/>
    <s v="Zeynep Çelik"/>
    <x v="2"/>
    <x v="10"/>
    <x v="1"/>
    <n v="9"/>
    <n v="4502"/>
    <n v="3422"/>
    <n v="40518"/>
    <n v="9720"/>
  </r>
  <r>
    <n v="1422"/>
    <x v="51"/>
    <x v="1"/>
    <s v="Zeynep Çelik"/>
    <x v="4"/>
    <x v="17"/>
    <x v="2"/>
    <n v="8"/>
    <n v="13091"/>
    <n v="8513"/>
    <n v="104728"/>
    <n v="36624"/>
  </r>
  <r>
    <n v="1423"/>
    <x v="3"/>
    <x v="2"/>
    <s v="Merve Şahin"/>
    <x v="4"/>
    <x v="3"/>
    <x v="3"/>
    <n v="6"/>
    <n v="931"/>
    <n v="689"/>
    <n v="5586"/>
    <n v="1452"/>
  </r>
  <r>
    <n v="1424"/>
    <x v="135"/>
    <x v="3"/>
    <s v="Can Arslan"/>
    <x v="3"/>
    <x v="10"/>
    <x v="1"/>
    <n v="10"/>
    <n v="7755"/>
    <n v="5866"/>
    <n v="77550"/>
    <n v="18890"/>
  </r>
  <r>
    <n v="1425"/>
    <x v="151"/>
    <x v="1"/>
    <s v="Emre Aydın"/>
    <x v="3"/>
    <x v="3"/>
    <x v="3"/>
    <n v="9"/>
    <n v="1757"/>
    <n v="1007"/>
    <n v="15813"/>
    <n v="6750"/>
  </r>
  <r>
    <n v="1426"/>
    <x v="179"/>
    <x v="0"/>
    <s v="Ayşe Demir"/>
    <x v="3"/>
    <x v="18"/>
    <x v="0"/>
    <n v="4"/>
    <n v="4685"/>
    <n v="3189"/>
    <n v="18740"/>
    <n v="5984"/>
  </r>
  <r>
    <n v="1427"/>
    <x v="256"/>
    <x v="3"/>
    <s v="Merve Şahin"/>
    <x v="0"/>
    <x v="6"/>
    <x v="4"/>
    <n v="5"/>
    <n v="1821"/>
    <n v="1424"/>
    <n v="9105"/>
    <n v="1985"/>
  </r>
  <r>
    <n v="1428"/>
    <x v="104"/>
    <x v="2"/>
    <s v="Elif Kaya"/>
    <x v="2"/>
    <x v="14"/>
    <x v="1"/>
    <n v="4"/>
    <n v="3225"/>
    <n v="2497"/>
    <n v="12900"/>
    <n v="2912"/>
  </r>
  <r>
    <n v="1429"/>
    <x v="165"/>
    <x v="4"/>
    <s v="Emre Aydın"/>
    <x v="1"/>
    <x v="2"/>
    <x v="2"/>
    <n v="3"/>
    <n v="18706"/>
    <n v="10074"/>
    <n v="56118"/>
    <n v="25896"/>
  </r>
  <r>
    <n v="1430"/>
    <x v="197"/>
    <x v="1"/>
    <s v="Emre Aydın"/>
    <x v="3"/>
    <x v="10"/>
    <x v="1"/>
    <n v="9"/>
    <n v="3807"/>
    <n v="2612"/>
    <n v="34263"/>
    <n v="10755"/>
  </r>
  <r>
    <n v="1431"/>
    <x v="257"/>
    <x v="3"/>
    <s v="Seda Yıldız"/>
    <x v="2"/>
    <x v="17"/>
    <x v="2"/>
    <n v="8"/>
    <n v="13140"/>
    <n v="9184"/>
    <n v="105120"/>
    <n v="31648"/>
  </r>
  <r>
    <n v="1432"/>
    <x v="258"/>
    <x v="1"/>
    <s v="Merve Şahin"/>
    <x v="3"/>
    <x v="14"/>
    <x v="1"/>
    <n v="4"/>
    <n v="4038"/>
    <n v="2385"/>
    <n v="16152"/>
    <n v="6612"/>
  </r>
  <r>
    <n v="1433"/>
    <x v="80"/>
    <x v="2"/>
    <s v="Elif Kaya"/>
    <x v="1"/>
    <x v="12"/>
    <x v="4"/>
    <n v="4"/>
    <n v="4399"/>
    <n v="2348"/>
    <n v="17596"/>
    <n v="8204"/>
  </r>
  <r>
    <n v="1434"/>
    <x v="259"/>
    <x v="0"/>
    <s v="Ahmet Yılmaz"/>
    <x v="3"/>
    <x v="9"/>
    <x v="3"/>
    <n v="4"/>
    <n v="3815"/>
    <n v="2169"/>
    <n v="15260"/>
    <n v="6584"/>
  </r>
  <r>
    <n v="1435"/>
    <x v="73"/>
    <x v="0"/>
    <s v="Ahmet Yılmaz"/>
    <x v="0"/>
    <x v="1"/>
    <x v="1"/>
    <n v="1"/>
    <n v="7936"/>
    <n v="5415"/>
    <n v="7936"/>
    <n v="2521"/>
  </r>
  <r>
    <n v="1436"/>
    <x v="260"/>
    <x v="1"/>
    <s v="Burak Demir"/>
    <x v="3"/>
    <x v="6"/>
    <x v="4"/>
    <n v="9"/>
    <n v="5415"/>
    <n v="3588"/>
    <n v="48735"/>
    <n v="16443"/>
  </r>
  <r>
    <n v="1437"/>
    <x v="83"/>
    <x v="2"/>
    <s v="Elif Kaya"/>
    <x v="2"/>
    <x v="18"/>
    <x v="0"/>
    <n v="1"/>
    <n v="2762"/>
    <n v="1382"/>
    <n v="2762"/>
    <n v="1380"/>
  </r>
  <r>
    <n v="1438"/>
    <x v="210"/>
    <x v="3"/>
    <s v="Elif Kaya"/>
    <x v="2"/>
    <x v="7"/>
    <x v="4"/>
    <n v="3"/>
    <n v="3692"/>
    <n v="2090"/>
    <n v="11076"/>
    <n v="4806"/>
  </r>
  <r>
    <n v="1439"/>
    <x v="261"/>
    <x v="1"/>
    <s v="Ahmet Yılmaz"/>
    <x v="1"/>
    <x v="15"/>
    <x v="2"/>
    <n v="7"/>
    <n v="12642"/>
    <n v="7822"/>
    <n v="88494"/>
    <n v="33740"/>
  </r>
  <r>
    <n v="1440"/>
    <x v="26"/>
    <x v="0"/>
    <s v="Ahmet Yılmaz"/>
    <x v="3"/>
    <x v="8"/>
    <x v="3"/>
    <n v="8"/>
    <n v="3382"/>
    <n v="2587"/>
    <n v="27056"/>
    <n v="6360"/>
  </r>
  <r>
    <n v="1441"/>
    <x v="130"/>
    <x v="3"/>
    <s v="Merve Şahin"/>
    <x v="4"/>
    <x v="8"/>
    <x v="3"/>
    <n v="7"/>
    <n v="3405"/>
    <n v="1750"/>
    <n v="23835"/>
    <n v="11585"/>
  </r>
  <r>
    <n v="1442"/>
    <x v="209"/>
    <x v="2"/>
    <s v="Merve Şahin"/>
    <x v="0"/>
    <x v="1"/>
    <x v="1"/>
    <n v="7"/>
    <n v="1569"/>
    <n v="1213"/>
    <n v="10983"/>
    <n v="2492"/>
  </r>
  <r>
    <n v="1443"/>
    <x v="262"/>
    <x v="4"/>
    <s v="Mehmet Kaya"/>
    <x v="1"/>
    <x v="4"/>
    <x v="1"/>
    <n v="2"/>
    <n v="7890"/>
    <n v="4372"/>
    <n v="15780"/>
    <n v="7036"/>
  </r>
  <r>
    <n v="1444"/>
    <x v="45"/>
    <x v="1"/>
    <s v="Seda Yıldız"/>
    <x v="4"/>
    <x v="1"/>
    <x v="1"/>
    <n v="6"/>
    <n v="1558"/>
    <n v="1121"/>
    <n v="9348"/>
    <n v="2622"/>
  </r>
  <r>
    <n v="1445"/>
    <x v="263"/>
    <x v="3"/>
    <s v="Merve Şahin"/>
    <x v="3"/>
    <x v="17"/>
    <x v="2"/>
    <n v="3"/>
    <n v="23869"/>
    <n v="12594"/>
    <n v="71607"/>
    <n v="33825"/>
  </r>
  <r>
    <n v="1446"/>
    <x v="91"/>
    <x v="1"/>
    <s v="Zeynep Çelik"/>
    <x v="1"/>
    <x v="11"/>
    <x v="2"/>
    <n v="7"/>
    <n v="22709"/>
    <n v="18090"/>
    <n v="158963"/>
    <n v="32333"/>
  </r>
  <r>
    <n v="1447"/>
    <x v="222"/>
    <x v="2"/>
    <s v="Seda Yıldız"/>
    <x v="4"/>
    <x v="9"/>
    <x v="3"/>
    <n v="7"/>
    <n v="1941"/>
    <n v="1234"/>
    <n v="13587"/>
    <n v="4949"/>
  </r>
  <r>
    <n v="1448"/>
    <x v="78"/>
    <x v="0"/>
    <s v="Ahmet Yılmaz"/>
    <x v="0"/>
    <x v="4"/>
    <x v="1"/>
    <n v="10"/>
    <n v="2017"/>
    <n v="1120"/>
    <n v="20170"/>
    <n v="8970"/>
  </r>
  <r>
    <n v="1449"/>
    <x v="214"/>
    <x v="0"/>
    <s v="Ahmet Yılmaz"/>
    <x v="4"/>
    <x v="19"/>
    <x v="3"/>
    <n v="10"/>
    <n v="1906"/>
    <n v="989"/>
    <n v="19060"/>
    <n v="9170"/>
  </r>
  <r>
    <n v="1450"/>
    <x v="58"/>
    <x v="1"/>
    <s v="Emre Aydın"/>
    <x v="3"/>
    <x v="2"/>
    <x v="2"/>
    <n v="7"/>
    <n v="16830"/>
    <n v="10365"/>
    <n v="117810"/>
    <n v="45255"/>
  </r>
  <r>
    <n v="1451"/>
    <x v="264"/>
    <x v="2"/>
    <s v="Merve Şahin"/>
    <x v="0"/>
    <x v="10"/>
    <x v="1"/>
    <n v="7"/>
    <n v="2258"/>
    <n v="1277"/>
    <n v="15806"/>
    <n v="6867"/>
  </r>
  <r>
    <n v="1452"/>
    <x v="121"/>
    <x v="3"/>
    <s v="Zeynep Çelik"/>
    <x v="2"/>
    <x v="9"/>
    <x v="3"/>
    <n v="7"/>
    <n v="1977"/>
    <n v="1446"/>
    <n v="13839"/>
    <n v="3717"/>
  </r>
  <r>
    <n v="1453"/>
    <x v="144"/>
    <x v="1"/>
    <s v="Seda Yıldız"/>
    <x v="0"/>
    <x v="2"/>
    <x v="2"/>
    <n v="6"/>
    <n v="5340"/>
    <n v="3033"/>
    <n v="32040"/>
    <n v="13842"/>
  </r>
  <r>
    <n v="1454"/>
    <x v="265"/>
    <x v="0"/>
    <s v="Ayşe Demir"/>
    <x v="1"/>
    <x v="13"/>
    <x v="0"/>
    <n v="4"/>
    <n v="10195"/>
    <n v="5622"/>
    <n v="40780"/>
    <n v="18292"/>
  </r>
  <r>
    <n v="1455"/>
    <x v="266"/>
    <x v="3"/>
    <s v="Zeynep Çelik"/>
    <x v="3"/>
    <x v="10"/>
    <x v="1"/>
    <n v="4"/>
    <n v="6114"/>
    <n v="4880"/>
    <n v="24456"/>
    <n v="4936"/>
  </r>
  <r>
    <n v="1456"/>
    <x v="267"/>
    <x v="2"/>
    <s v="Burak Demir"/>
    <x v="1"/>
    <x v="3"/>
    <x v="3"/>
    <n v="1"/>
    <n v="653"/>
    <n v="466"/>
    <n v="653"/>
    <n v="187"/>
  </r>
  <r>
    <n v="1457"/>
    <x v="268"/>
    <x v="4"/>
    <s v="Merve Şahin"/>
    <x v="3"/>
    <x v="5"/>
    <x v="0"/>
    <n v="9"/>
    <n v="9374"/>
    <n v="6956"/>
    <n v="84366"/>
    <n v="21762"/>
  </r>
  <r>
    <n v="1458"/>
    <x v="5"/>
    <x v="1"/>
    <s v="Burak Demir"/>
    <x v="0"/>
    <x v="1"/>
    <x v="1"/>
    <n v="9"/>
    <n v="5773"/>
    <n v="3330"/>
    <n v="51957"/>
    <n v="21987"/>
  </r>
  <r>
    <n v="1459"/>
    <x v="269"/>
    <x v="3"/>
    <s v="Seda Yıldız"/>
    <x v="2"/>
    <x v="13"/>
    <x v="0"/>
    <n v="1"/>
    <n v="7255"/>
    <n v="4382"/>
    <n v="7255"/>
    <n v="2873"/>
  </r>
  <r>
    <n v="1460"/>
    <x v="86"/>
    <x v="1"/>
    <s v="Burak Demir"/>
    <x v="0"/>
    <x v="18"/>
    <x v="0"/>
    <n v="7"/>
    <n v="11512"/>
    <n v="7970"/>
    <n v="80584"/>
    <n v="24794"/>
  </r>
  <r>
    <n v="1461"/>
    <x v="270"/>
    <x v="2"/>
    <s v="Ayşe Demir"/>
    <x v="0"/>
    <x v="15"/>
    <x v="2"/>
    <n v="7"/>
    <n v="15116"/>
    <n v="9626"/>
    <n v="105812"/>
    <n v="38430"/>
  </r>
  <r>
    <n v="1462"/>
    <x v="60"/>
    <x v="0"/>
    <s v="Burak Demir"/>
    <x v="1"/>
    <x v="2"/>
    <x v="2"/>
    <n v="6"/>
    <n v="13567"/>
    <n v="8407"/>
    <n v="81402"/>
    <n v="30960"/>
  </r>
  <r>
    <n v="1463"/>
    <x v="64"/>
    <x v="0"/>
    <s v="Burak Demir"/>
    <x v="4"/>
    <x v="10"/>
    <x v="1"/>
    <n v="6"/>
    <n v="6713"/>
    <n v="3685"/>
    <n v="40278"/>
    <n v="18168"/>
  </r>
  <r>
    <n v="1464"/>
    <x v="99"/>
    <x v="1"/>
    <s v="Emre Aydın"/>
    <x v="3"/>
    <x v="0"/>
    <x v="0"/>
    <n v="3"/>
    <n v="3864"/>
    <n v="2751"/>
    <n v="11592"/>
    <n v="3339"/>
  </r>
  <r>
    <n v="1465"/>
    <x v="96"/>
    <x v="2"/>
    <s v="Zeynep Çelik"/>
    <x v="1"/>
    <x v="10"/>
    <x v="1"/>
    <n v="2"/>
    <n v="4765"/>
    <n v="3317"/>
    <n v="9530"/>
    <n v="2896"/>
  </r>
  <r>
    <n v="1466"/>
    <x v="194"/>
    <x v="3"/>
    <s v="Seda Yıldız"/>
    <x v="0"/>
    <x v="16"/>
    <x v="4"/>
    <n v="10"/>
    <n v="5483"/>
    <n v="3768"/>
    <n v="54830"/>
    <n v="17150"/>
  </r>
  <r>
    <n v="1467"/>
    <x v="164"/>
    <x v="1"/>
    <s v="Ayşe Demir"/>
    <x v="1"/>
    <x v="9"/>
    <x v="3"/>
    <n v="10"/>
    <n v="3861"/>
    <n v="2851"/>
    <n v="38610"/>
    <n v="10100"/>
  </r>
  <r>
    <n v="1468"/>
    <x v="102"/>
    <x v="0"/>
    <s v="Merve Şahin"/>
    <x v="0"/>
    <x v="9"/>
    <x v="3"/>
    <n v="1"/>
    <n v="2223"/>
    <n v="1407"/>
    <n v="2223"/>
    <n v="816"/>
  </r>
  <r>
    <n v="1469"/>
    <x v="271"/>
    <x v="3"/>
    <s v="Elif Kaya"/>
    <x v="1"/>
    <x v="7"/>
    <x v="4"/>
    <n v="9"/>
    <n v="6344"/>
    <n v="3269"/>
    <n v="57096"/>
    <n v="27675"/>
  </r>
  <r>
    <n v="1470"/>
    <x v="97"/>
    <x v="2"/>
    <s v="Seda Yıldız"/>
    <x v="4"/>
    <x v="7"/>
    <x v="4"/>
    <n v="3"/>
    <n v="2304"/>
    <n v="1656"/>
    <n v="6912"/>
    <n v="1944"/>
  </r>
  <r>
    <n v="1471"/>
    <x v="189"/>
    <x v="4"/>
    <s v="Mehmet Kaya"/>
    <x v="2"/>
    <x v="9"/>
    <x v="3"/>
    <n v="10"/>
    <n v="419"/>
    <n v="253"/>
    <n v="4190"/>
    <n v="1660"/>
  </r>
  <r>
    <n v="1472"/>
    <x v="33"/>
    <x v="1"/>
    <s v="Ayşe Demir"/>
    <x v="4"/>
    <x v="18"/>
    <x v="0"/>
    <n v="2"/>
    <n v="10024"/>
    <n v="6639"/>
    <n v="20048"/>
    <n v="6770"/>
  </r>
  <r>
    <n v="1473"/>
    <x v="24"/>
    <x v="3"/>
    <s v="Burak Demir"/>
    <x v="2"/>
    <x v="14"/>
    <x v="1"/>
    <n v="3"/>
    <n v="1248"/>
    <n v="897"/>
    <n v="3744"/>
    <n v="1053"/>
  </r>
  <r>
    <n v="1474"/>
    <x v="217"/>
    <x v="1"/>
    <s v="Emre Aydın"/>
    <x v="4"/>
    <x v="15"/>
    <x v="2"/>
    <n v="9"/>
    <n v="10229"/>
    <n v="7428"/>
    <n v="92061"/>
    <n v="25209"/>
  </r>
  <r>
    <n v="1475"/>
    <x v="120"/>
    <x v="2"/>
    <s v="Emre Aydın"/>
    <x v="2"/>
    <x v="8"/>
    <x v="3"/>
    <n v="6"/>
    <n v="3203"/>
    <n v="2094"/>
    <n v="19218"/>
    <n v="6654"/>
  </r>
  <r>
    <n v="1476"/>
    <x v="177"/>
    <x v="0"/>
    <s v="Can Arslan"/>
    <x v="2"/>
    <x v="18"/>
    <x v="0"/>
    <n v="3"/>
    <n v="7691"/>
    <n v="5783"/>
    <n v="23073"/>
    <n v="5724"/>
  </r>
  <r>
    <n v="1477"/>
    <x v="82"/>
    <x v="0"/>
    <s v="Elif Kaya"/>
    <x v="2"/>
    <x v="19"/>
    <x v="3"/>
    <n v="4"/>
    <n v="1487"/>
    <n v="929"/>
    <n v="5948"/>
    <n v="2232"/>
  </r>
  <r>
    <n v="1478"/>
    <x v="197"/>
    <x v="1"/>
    <s v="Burak Demir"/>
    <x v="2"/>
    <x v="7"/>
    <x v="4"/>
    <n v="1"/>
    <n v="1617"/>
    <n v="1055"/>
    <n v="1617"/>
    <n v="562"/>
  </r>
  <r>
    <n v="1479"/>
    <x v="272"/>
    <x v="2"/>
    <s v="Elif Kaya"/>
    <x v="3"/>
    <x v="16"/>
    <x v="4"/>
    <n v="7"/>
    <n v="6328"/>
    <n v="4329"/>
    <n v="44296"/>
    <n v="13993"/>
  </r>
  <r>
    <n v="1480"/>
    <x v="16"/>
    <x v="3"/>
    <s v="Can Arslan"/>
    <x v="1"/>
    <x v="7"/>
    <x v="4"/>
    <n v="3"/>
    <n v="1916"/>
    <n v="1503"/>
    <n v="5748"/>
    <n v="1239"/>
  </r>
  <r>
    <n v="1481"/>
    <x v="273"/>
    <x v="1"/>
    <s v="Merve Şahin"/>
    <x v="0"/>
    <x v="7"/>
    <x v="4"/>
    <n v="3"/>
    <n v="4467"/>
    <n v="2914"/>
    <n v="13401"/>
    <n v="4659"/>
  </r>
  <r>
    <n v="1482"/>
    <x v="258"/>
    <x v="0"/>
    <s v="Ahmet Yılmaz"/>
    <x v="1"/>
    <x v="9"/>
    <x v="3"/>
    <n v="10"/>
    <n v="842"/>
    <n v="571"/>
    <n v="8420"/>
    <n v="2710"/>
  </r>
  <r>
    <n v="1483"/>
    <x v="160"/>
    <x v="3"/>
    <s v="Emre Aydın"/>
    <x v="4"/>
    <x v="3"/>
    <x v="3"/>
    <n v="10"/>
    <n v="1865"/>
    <n v="1437"/>
    <n v="18650"/>
    <n v="4280"/>
  </r>
  <r>
    <n v="1484"/>
    <x v="48"/>
    <x v="2"/>
    <s v="Burak Demir"/>
    <x v="2"/>
    <x v="3"/>
    <x v="3"/>
    <n v="3"/>
    <n v="3117"/>
    <n v="1880"/>
    <n v="9351"/>
    <n v="3711"/>
  </r>
  <r>
    <n v="1485"/>
    <x v="83"/>
    <x v="4"/>
    <s v="Mehmet Kaya"/>
    <x v="4"/>
    <x v="15"/>
    <x v="2"/>
    <n v="9"/>
    <n v="16120"/>
    <n v="9114"/>
    <n v="145080"/>
    <n v="63054"/>
  </r>
  <r>
    <n v="1486"/>
    <x v="274"/>
    <x v="1"/>
    <s v="Elif Kaya"/>
    <x v="2"/>
    <x v="15"/>
    <x v="2"/>
    <n v="8"/>
    <n v="24523"/>
    <n v="13187"/>
    <n v="196184"/>
    <n v="90688"/>
  </r>
  <r>
    <n v="1487"/>
    <x v="180"/>
    <x v="3"/>
    <s v="Can Arslan"/>
    <x v="0"/>
    <x v="19"/>
    <x v="3"/>
    <n v="1"/>
    <n v="3907"/>
    <n v="2168"/>
    <n v="3907"/>
    <n v="1739"/>
  </r>
  <r>
    <n v="1488"/>
    <x v="77"/>
    <x v="1"/>
    <s v="Merve Şahin"/>
    <x v="0"/>
    <x v="1"/>
    <x v="1"/>
    <n v="5"/>
    <n v="6244"/>
    <n v="4762"/>
    <n v="31220"/>
    <n v="7410"/>
  </r>
  <r>
    <n v="1489"/>
    <x v="275"/>
    <x v="2"/>
    <s v="Mehmet Kaya"/>
    <x v="2"/>
    <x v="3"/>
    <x v="3"/>
    <n v="9"/>
    <n v="318"/>
    <n v="191"/>
    <n v="2862"/>
    <n v="1143"/>
  </r>
  <r>
    <n v="1490"/>
    <x v="76"/>
    <x v="0"/>
    <s v="Zeynep Çelik"/>
    <x v="2"/>
    <x v="12"/>
    <x v="4"/>
    <n v="5"/>
    <n v="573"/>
    <n v="458"/>
    <n v="2865"/>
    <n v="575"/>
  </r>
  <r>
    <n v="1491"/>
    <x v="276"/>
    <x v="0"/>
    <s v="Ahmet Yılmaz"/>
    <x v="3"/>
    <x v="8"/>
    <x v="3"/>
    <n v="4"/>
    <n v="2918"/>
    <n v="1717"/>
    <n v="11672"/>
    <n v="4804"/>
  </r>
  <r>
    <n v="1492"/>
    <x v="277"/>
    <x v="1"/>
    <s v="Can Arslan"/>
    <x v="4"/>
    <x v="8"/>
    <x v="3"/>
    <n v="7"/>
    <n v="2997"/>
    <n v="2058"/>
    <n v="20979"/>
    <n v="6573"/>
  </r>
  <r>
    <n v="1493"/>
    <x v="278"/>
    <x v="2"/>
    <s v="Ahmet Yılmaz"/>
    <x v="3"/>
    <x v="16"/>
    <x v="4"/>
    <n v="4"/>
    <n v="3396"/>
    <n v="2025"/>
    <n v="13584"/>
    <n v="5484"/>
  </r>
  <r>
    <n v="1494"/>
    <x v="175"/>
    <x v="3"/>
    <s v="Can Arslan"/>
    <x v="3"/>
    <x v="5"/>
    <x v="0"/>
    <n v="9"/>
    <n v="11895"/>
    <n v="7826"/>
    <n v="107055"/>
    <n v="36621"/>
  </r>
  <r>
    <n v="1495"/>
    <x v="50"/>
    <x v="1"/>
    <s v="Can Arslan"/>
    <x v="3"/>
    <x v="5"/>
    <x v="0"/>
    <n v="6"/>
    <n v="11073"/>
    <n v="8520"/>
    <n v="66438"/>
    <n v="15318"/>
  </r>
  <r>
    <n v="1496"/>
    <x v="279"/>
    <x v="0"/>
    <s v="Zeynep Çelik"/>
    <x v="1"/>
    <x v="13"/>
    <x v="0"/>
    <n v="3"/>
    <n v="5044"/>
    <n v="3196"/>
    <n v="15132"/>
    <n v="5544"/>
  </r>
  <r>
    <n v="1497"/>
    <x v="32"/>
    <x v="3"/>
    <s v="Mehmet Kaya"/>
    <x v="0"/>
    <x v="2"/>
    <x v="2"/>
    <n v="5"/>
    <n v="11660"/>
    <n v="8426"/>
    <n v="58300"/>
    <n v="16170"/>
  </r>
  <r>
    <n v="1498"/>
    <x v="280"/>
    <x v="2"/>
    <s v="Emre Aydın"/>
    <x v="3"/>
    <x v="9"/>
    <x v="3"/>
    <n v="1"/>
    <n v="3569"/>
    <n v="1957"/>
    <n v="3569"/>
    <n v="1612"/>
  </r>
  <r>
    <n v="1499"/>
    <x v="194"/>
    <x v="4"/>
    <s v="Burak Demir"/>
    <x v="2"/>
    <x v="1"/>
    <x v="1"/>
    <n v="1"/>
    <n v="3675"/>
    <n v="2152"/>
    <n v="3675"/>
    <n v="1523"/>
  </r>
  <r>
    <n v="1500"/>
    <x v="59"/>
    <x v="1"/>
    <s v="Merve Şahin"/>
    <x v="1"/>
    <x v="9"/>
    <x v="3"/>
    <n v="5"/>
    <n v="2309"/>
    <n v="1437"/>
    <n v="11545"/>
    <n v="4360"/>
  </r>
  <r>
    <n v="1501"/>
    <x v="27"/>
    <x v="3"/>
    <s v="Merve Şahin"/>
    <x v="4"/>
    <x v="5"/>
    <x v="0"/>
    <n v="4"/>
    <n v="5181"/>
    <n v="3032"/>
    <n v="20724"/>
    <n v="8596"/>
  </r>
  <r>
    <n v="1502"/>
    <x v="281"/>
    <x v="1"/>
    <s v="Elif Kaya"/>
    <x v="2"/>
    <x v="13"/>
    <x v="0"/>
    <n v="4"/>
    <n v="8667"/>
    <n v="6501"/>
    <n v="34668"/>
    <n v="8664"/>
  </r>
  <r>
    <n v="1503"/>
    <x v="259"/>
    <x v="2"/>
    <s v="Ayşe Demir"/>
    <x v="4"/>
    <x v="6"/>
    <x v="4"/>
    <n v="8"/>
    <n v="2052"/>
    <n v="1423"/>
    <n v="16416"/>
    <n v="5032"/>
  </r>
  <r>
    <n v="1504"/>
    <x v="179"/>
    <x v="0"/>
    <s v="Ahmet Yılmaz"/>
    <x v="2"/>
    <x v="0"/>
    <x v="0"/>
    <n v="4"/>
    <n v="11276"/>
    <n v="8167"/>
    <n v="45104"/>
    <n v="12436"/>
  </r>
  <r>
    <n v="1505"/>
    <x v="221"/>
    <x v="0"/>
    <s v="Ahmet Yılmaz"/>
    <x v="2"/>
    <x v="3"/>
    <x v="3"/>
    <n v="2"/>
    <n v="2850"/>
    <n v="1476"/>
    <n v="5700"/>
    <n v="2748"/>
  </r>
  <r>
    <n v="1506"/>
    <x v="177"/>
    <x v="1"/>
    <s v="Merve Şahin"/>
    <x v="1"/>
    <x v="10"/>
    <x v="1"/>
    <n v="6"/>
    <n v="5166"/>
    <n v="3514"/>
    <n v="30996"/>
    <n v="9912"/>
  </r>
  <r>
    <n v="1507"/>
    <x v="282"/>
    <x v="2"/>
    <s v="Elif Kaya"/>
    <x v="1"/>
    <x v="16"/>
    <x v="4"/>
    <n v="5"/>
    <n v="4240"/>
    <n v="2342"/>
    <n v="21200"/>
    <n v="9490"/>
  </r>
  <r>
    <n v="1508"/>
    <x v="9"/>
    <x v="3"/>
    <s v="Emre Aydın"/>
    <x v="0"/>
    <x v="18"/>
    <x v="0"/>
    <n v="6"/>
    <n v="7153"/>
    <n v="5436"/>
    <n v="42918"/>
    <n v="10302"/>
  </r>
  <r>
    <n v="1509"/>
    <x v="170"/>
    <x v="1"/>
    <s v="Can Arslan"/>
    <x v="4"/>
    <x v="14"/>
    <x v="1"/>
    <n v="1"/>
    <n v="3121"/>
    <n v="1909"/>
    <n v="3121"/>
    <n v="1212"/>
  </r>
  <r>
    <n v="1510"/>
    <x v="130"/>
    <x v="0"/>
    <s v="Mehmet Kaya"/>
    <x v="2"/>
    <x v="13"/>
    <x v="0"/>
    <n v="3"/>
    <n v="8656"/>
    <n v="6187"/>
    <n v="25968"/>
    <n v="7407"/>
  </r>
  <r>
    <n v="1511"/>
    <x v="135"/>
    <x v="3"/>
    <s v="Seda Yıldız"/>
    <x v="1"/>
    <x v="8"/>
    <x v="3"/>
    <n v="7"/>
    <n v="1337"/>
    <n v="1044"/>
    <n v="9359"/>
    <n v="2051"/>
  </r>
  <r>
    <n v="1512"/>
    <x v="283"/>
    <x v="2"/>
    <s v="Mehmet Kaya"/>
    <x v="3"/>
    <x v="14"/>
    <x v="1"/>
    <n v="4"/>
    <n v="7739"/>
    <n v="5469"/>
    <n v="30956"/>
    <n v="9080"/>
  </r>
  <r>
    <n v="1513"/>
    <x v="182"/>
    <x v="4"/>
    <s v="Burak Demir"/>
    <x v="4"/>
    <x v="0"/>
    <x v="0"/>
    <n v="3"/>
    <n v="4413"/>
    <n v="2799"/>
    <n v="13239"/>
    <n v="4842"/>
  </r>
  <r>
    <n v="1514"/>
    <x v="284"/>
    <x v="1"/>
    <s v="Zeynep Çelik"/>
    <x v="0"/>
    <x v="10"/>
    <x v="1"/>
    <n v="3"/>
    <n v="5358"/>
    <n v="3410"/>
    <n v="16074"/>
    <n v="5844"/>
  </r>
  <r>
    <n v="1515"/>
    <x v="199"/>
    <x v="3"/>
    <s v="Elif Kaya"/>
    <x v="0"/>
    <x v="13"/>
    <x v="0"/>
    <n v="4"/>
    <n v="4526"/>
    <n v="3270"/>
    <n v="18104"/>
    <n v="5024"/>
  </r>
  <r>
    <n v="1516"/>
    <x v="182"/>
    <x v="1"/>
    <s v="Zeynep Çelik"/>
    <x v="0"/>
    <x v="14"/>
    <x v="1"/>
    <n v="3"/>
    <n v="4091"/>
    <n v="3267"/>
    <n v="12273"/>
    <n v="2472"/>
  </r>
  <r>
    <n v="1517"/>
    <x v="285"/>
    <x v="2"/>
    <s v="Zeynep Çelik"/>
    <x v="0"/>
    <x v="17"/>
    <x v="2"/>
    <n v="5"/>
    <n v="10331"/>
    <n v="6319"/>
    <n v="51655"/>
    <n v="20060"/>
  </r>
  <r>
    <n v="1518"/>
    <x v="93"/>
    <x v="0"/>
    <s v="Mehmet Kaya"/>
    <x v="3"/>
    <x v="9"/>
    <x v="3"/>
    <n v="7"/>
    <n v="1876"/>
    <n v="964"/>
    <n v="13132"/>
    <n v="6384"/>
  </r>
  <r>
    <n v="1519"/>
    <x v="30"/>
    <x v="0"/>
    <s v="Ayşe Demir"/>
    <x v="4"/>
    <x v="2"/>
    <x v="2"/>
    <n v="5"/>
    <n v="12676"/>
    <n v="6625"/>
    <n v="63380"/>
    <n v="30255"/>
  </r>
  <r>
    <n v="1520"/>
    <x v="26"/>
    <x v="1"/>
    <s v="Ahmet Yılmaz"/>
    <x v="4"/>
    <x v="4"/>
    <x v="1"/>
    <n v="6"/>
    <n v="5732"/>
    <n v="2943"/>
    <n v="34392"/>
    <n v="16734"/>
  </r>
  <r>
    <n v="1521"/>
    <x v="286"/>
    <x v="2"/>
    <s v="Mehmet Kaya"/>
    <x v="3"/>
    <x v="4"/>
    <x v="1"/>
    <n v="1"/>
    <n v="1042"/>
    <n v="766"/>
    <n v="1042"/>
    <n v="276"/>
  </r>
  <r>
    <n v="1522"/>
    <x v="17"/>
    <x v="3"/>
    <s v="Emre Aydın"/>
    <x v="2"/>
    <x v="17"/>
    <x v="2"/>
    <n v="10"/>
    <n v="23637"/>
    <n v="13464"/>
    <n v="236370"/>
    <n v="101730"/>
  </r>
  <r>
    <n v="1523"/>
    <x v="225"/>
    <x v="1"/>
    <s v="Merve Şahin"/>
    <x v="1"/>
    <x v="6"/>
    <x v="4"/>
    <n v="5"/>
    <n v="1940"/>
    <n v="978"/>
    <n v="9700"/>
    <n v="4810"/>
  </r>
  <r>
    <n v="1524"/>
    <x v="224"/>
    <x v="0"/>
    <s v="Emre Aydın"/>
    <x v="1"/>
    <x v="15"/>
    <x v="2"/>
    <n v="4"/>
    <n v="7467"/>
    <n v="3866"/>
    <n v="29868"/>
    <n v="14404"/>
  </r>
  <r>
    <n v="1525"/>
    <x v="44"/>
    <x v="3"/>
    <s v="Merve Şahin"/>
    <x v="0"/>
    <x v="15"/>
    <x v="2"/>
    <n v="9"/>
    <n v="14548"/>
    <n v="10103"/>
    <n v="130932"/>
    <n v="40005"/>
  </r>
  <r>
    <n v="1526"/>
    <x v="248"/>
    <x v="2"/>
    <s v="Seda Yıldız"/>
    <x v="2"/>
    <x v="9"/>
    <x v="3"/>
    <n v="5"/>
    <n v="1566"/>
    <n v="890"/>
    <n v="7830"/>
    <n v="3380"/>
  </r>
  <r>
    <n v="1527"/>
    <x v="287"/>
    <x v="4"/>
    <s v="Mehmet Kaya"/>
    <x v="4"/>
    <x v="18"/>
    <x v="0"/>
    <n v="1"/>
    <n v="6040"/>
    <n v="3663"/>
    <n v="6040"/>
    <n v="2377"/>
  </r>
  <r>
    <n v="1528"/>
    <x v="127"/>
    <x v="1"/>
    <s v="Merve Şahin"/>
    <x v="3"/>
    <x v="9"/>
    <x v="3"/>
    <n v="3"/>
    <n v="1238"/>
    <n v="893"/>
    <n v="3714"/>
    <n v="1035"/>
  </r>
  <r>
    <n v="1529"/>
    <x v="288"/>
    <x v="3"/>
    <s v="Ayşe Demir"/>
    <x v="4"/>
    <x v="6"/>
    <x v="4"/>
    <n v="1"/>
    <n v="1343"/>
    <n v="675"/>
    <n v="1343"/>
    <n v="668"/>
  </r>
  <r>
    <n v="1530"/>
    <x v="47"/>
    <x v="1"/>
    <s v="Seda Yıldız"/>
    <x v="4"/>
    <x v="18"/>
    <x v="0"/>
    <n v="8"/>
    <n v="4816"/>
    <n v="2710"/>
    <n v="38528"/>
    <n v="16848"/>
  </r>
  <r>
    <n v="1531"/>
    <x v="211"/>
    <x v="2"/>
    <s v="Seda Yıldız"/>
    <x v="1"/>
    <x v="5"/>
    <x v="0"/>
    <n v="3"/>
    <n v="6663"/>
    <n v="4850"/>
    <n v="19989"/>
    <n v="5439"/>
  </r>
  <r>
    <n v="1532"/>
    <x v="239"/>
    <x v="0"/>
    <s v="Ayşe Demir"/>
    <x v="3"/>
    <x v="17"/>
    <x v="2"/>
    <n v="6"/>
    <n v="23256"/>
    <n v="15592"/>
    <n v="139536"/>
    <n v="45984"/>
  </r>
  <r>
    <n v="1533"/>
    <x v="81"/>
    <x v="0"/>
    <s v="Seda Yıldız"/>
    <x v="0"/>
    <x v="19"/>
    <x v="3"/>
    <n v="10"/>
    <n v="781"/>
    <n v="600"/>
    <n v="7810"/>
    <n v="1810"/>
  </r>
  <r>
    <n v="1534"/>
    <x v="71"/>
    <x v="1"/>
    <s v="Ayşe Demir"/>
    <x v="1"/>
    <x v="11"/>
    <x v="2"/>
    <n v="3"/>
    <n v="11461"/>
    <n v="8649"/>
    <n v="34383"/>
    <n v="8436"/>
  </r>
  <r>
    <n v="1535"/>
    <x v="141"/>
    <x v="2"/>
    <s v="Emre Aydın"/>
    <x v="3"/>
    <x v="3"/>
    <x v="3"/>
    <n v="5"/>
    <n v="3257"/>
    <n v="2165"/>
    <n v="16285"/>
    <n v="5460"/>
  </r>
  <r>
    <n v="1536"/>
    <x v="141"/>
    <x v="3"/>
    <s v="Merve Şahin"/>
    <x v="0"/>
    <x v="19"/>
    <x v="3"/>
    <n v="8"/>
    <n v="3355"/>
    <n v="2590"/>
    <n v="26840"/>
    <n v="6120"/>
  </r>
  <r>
    <n v="1537"/>
    <x v="275"/>
    <x v="1"/>
    <s v="Ahmet Yılmaz"/>
    <x v="1"/>
    <x v="15"/>
    <x v="2"/>
    <n v="10"/>
    <n v="12926"/>
    <n v="6601"/>
    <n v="129260"/>
    <n v="63250"/>
  </r>
  <r>
    <n v="1538"/>
    <x v="289"/>
    <x v="0"/>
    <s v="Seda Yıldız"/>
    <x v="2"/>
    <x v="16"/>
    <x v="4"/>
    <n v="9"/>
    <n v="3602"/>
    <n v="2346"/>
    <n v="32418"/>
    <n v="11304"/>
  </r>
  <r>
    <n v="1539"/>
    <x v="121"/>
    <x v="3"/>
    <s v="Zeynep Çelik"/>
    <x v="4"/>
    <x v="19"/>
    <x v="3"/>
    <n v="3"/>
    <n v="1817"/>
    <n v="1087"/>
    <n v="5451"/>
    <n v="2190"/>
  </r>
  <r>
    <n v="1540"/>
    <x v="26"/>
    <x v="2"/>
    <s v="Merve Şahin"/>
    <x v="0"/>
    <x v="8"/>
    <x v="3"/>
    <n v="2"/>
    <n v="2383"/>
    <n v="1325"/>
    <n v="4766"/>
    <n v="2116"/>
  </r>
  <r>
    <n v="1541"/>
    <x v="290"/>
    <x v="4"/>
    <s v="Emre Aydın"/>
    <x v="1"/>
    <x v="18"/>
    <x v="0"/>
    <n v="2"/>
    <n v="9945"/>
    <n v="5657"/>
    <n v="19890"/>
    <n v="8576"/>
  </r>
  <r>
    <n v="1542"/>
    <x v="122"/>
    <x v="1"/>
    <s v="Can Arslan"/>
    <x v="4"/>
    <x v="7"/>
    <x v="4"/>
    <n v="4"/>
    <n v="4359"/>
    <n v="2827"/>
    <n v="17436"/>
    <n v="6128"/>
  </r>
  <r>
    <n v="1543"/>
    <x v="178"/>
    <x v="3"/>
    <s v="Ahmet Yılmaz"/>
    <x v="3"/>
    <x v="0"/>
    <x v="0"/>
    <n v="3"/>
    <n v="11140"/>
    <n v="8457"/>
    <n v="33420"/>
    <n v="8049"/>
  </r>
  <r>
    <n v="1544"/>
    <x v="177"/>
    <x v="1"/>
    <s v="Mehmet Kaya"/>
    <x v="2"/>
    <x v="11"/>
    <x v="2"/>
    <n v="1"/>
    <n v="23231"/>
    <n v="12197"/>
    <n v="23231"/>
    <n v="11034"/>
  </r>
  <r>
    <n v="1545"/>
    <x v="12"/>
    <x v="2"/>
    <s v="Zeynep Çelik"/>
    <x v="2"/>
    <x v="19"/>
    <x v="3"/>
    <n v="8"/>
    <n v="1452"/>
    <n v="870"/>
    <n v="11616"/>
    <n v="4656"/>
  </r>
  <r>
    <n v="1546"/>
    <x v="27"/>
    <x v="0"/>
    <s v="Ayşe Demir"/>
    <x v="1"/>
    <x v="18"/>
    <x v="0"/>
    <n v="8"/>
    <n v="7467"/>
    <n v="3974"/>
    <n v="59736"/>
    <n v="27944"/>
  </r>
  <r>
    <n v="1547"/>
    <x v="167"/>
    <x v="0"/>
    <s v="Can Arslan"/>
    <x v="3"/>
    <x v="18"/>
    <x v="0"/>
    <n v="10"/>
    <n v="7356"/>
    <n v="5219"/>
    <n v="73560"/>
    <n v="21370"/>
  </r>
  <r>
    <n v="1548"/>
    <x v="54"/>
    <x v="1"/>
    <s v="Merve Şahin"/>
    <x v="4"/>
    <x v="8"/>
    <x v="3"/>
    <n v="10"/>
    <n v="2318"/>
    <n v="1791"/>
    <n v="23180"/>
    <n v="5270"/>
  </r>
  <r>
    <n v="1549"/>
    <x v="291"/>
    <x v="2"/>
    <s v="Ayşe Demir"/>
    <x v="3"/>
    <x v="8"/>
    <x v="3"/>
    <n v="2"/>
    <n v="2926"/>
    <n v="2284"/>
    <n v="5852"/>
    <n v="1284"/>
  </r>
  <r>
    <n v="1550"/>
    <x v="254"/>
    <x v="3"/>
    <s v="Elif Kaya"/>
    <x v="3"/>
    <x v="0"/>
    <x v="0"/>
    <n v="1"/>
    <n v="6496"/>
    <n v="4994"/>
    <n v="6496"/>
    <n v="1502"/>
  </r>
  <r>
    <n v="1551"/>
    <x v="292"/>
    <x v="1"/>
    <s v="Mehmet Kaya"/>
    <x v="0"/>
    <x v="17"/>
    <x v="2"/>
    <n v="3"/>
    <n v="24294"/>
    <n v="19405"/>
    <n v="72882"/>
    <n v="14667"/>
  </r>
  <r>
    <n v="1552"/>
    <x v="254"/>
    <x v="0"/>
    <s v="Seda Yıldız"/>
    <x v="1"/>
    <x v="4"/>
    <x v="1"/>
    <n v="1"/>
    <n v="4875"/>
    <n v="3725"/>
    <n v="4875"/>
    <n v="1150"/>
  </r>
  <r>
    <n v="1553"/>
    <x v="276"/>
    <x v="3"/>
    <s v="Emre Aydın"/>
    <x v="2"/>
    <x v="18"/>
    <x v="0"/>
    <n v="1"/>
    <n v="7857"/>
    <n v="5322"/>
    <n v="7857"/>
    <n v="2535"/>
  </r>
  <r>
    <n v="1554"/>
    <x v="79"/>
    <x v="2"/>
    <s v="Seda Yıldız"/>
    <x v="3"/>
    <x v="12"/>
    <x v="4"/>
    <n v="6"/>
    <n v="3659"/>
    <n v="2349"/>
    <n v="21954"/>
    <n v="7860"/>
  </r>
  <r>
    <n v="1555"/>
    <x v="169"/>
    <x v="4"/>
    <s v="Burak Demir"/>
    <x v="1"/>
    <x v="2"/>
    <x v="2"/>
    <n v="6"/>
    <n v="14794"/>
    <n v="8864"/>
    <n v="88764"/>
    <n v="35580"/>
  </r>
  <r>
    <n v="1556"/>
    <x v="198"/>
    <x v="1"/>
    <s v="Mehmet Kaya"/>
    <x v="4"/>
    <x v="13"/>
    <x v="0"/>
    <n v="4"/>
    <n v="3585"/>
    <n v="2391"/>
    <n v="14340"/>
    <n v="4776"/>
  </r>
  <r>
    <n v="1557"/>
    <x v="65"/>
    <x v="3"/>
    <s v="Burak Demir"/>
    <x v="4"/>
    <x v="2"/>
    <x v="2"/>
    <n v="5"/>
    <n v="6808"/>
    <n v="3926"/>
    <n v="34040"/>
    <n v="14410"/>
  </r>
  <r>
    <n v="1558"/>
    <x v="61"/>
    <x v="1"/>
    <s v="Mehmet Kaya"/>
    <x v="4"/>
    <x v="7"/>
    <x v="4"/>
    <n v="3"/>
    <n v="6201"/>
    <n v="4527"/>
    <n v="18603"/>
    <n v="5022"/>
  </r>
  <r>
    <n v="1559"/>
    <x v="293"/>
    <x v="2"/>
    <s v="Seda Yıldız"/>
    <x v="2"/>
    <x v="4"/>
    <x v="1"/>
    <n v="7"/>
    <n v="1415"/>
    <n v="840"/>
    <n v="9905"/>
    <n v="4025"/>
  </r>
  <r>
    <n v="1560"/>
    <x v="294"/>
    <x v="0"/>
    <s v="Ayşe Demir"/>
    <x v="1"/>
    <x v="10"/>
    <x v="1"/>
    <n v="2"/>
    <n v="5154"/>
    <n v="3233"/>
    <n v="10308"/>
    <n v="3842"/>
  </r>
  <r>
    <n v="1561"/>
    <x v="217"/>
    <x v="0"/>
    <s v="Seda Yıldız"/>
    <x v="2"/>
    <x v="3"/>
    <x v="3"/>
    <n v="8"/>
    <n v="820"/>
    <n v="496"/>
    <n v="6560"/>
    <n v="2592"/>
  </r>
  <r>
    <n v="1562"/>
    <x v="295"/>
    <x v="1"/>
    <s v="Seda Yıldız"/>
    <x v="3"/>
    <x v="8"/>
    <x v="3"/>
    <n v="5"/>
    <n v="3838"/>
    <n v="2795"/>
    <n v="19190"/>
    <n v="5215"/>
  </r>
  <r>
    <n v="1563"/>
    <x v="163"/>
    <x v="2"/>
    <s v="Seda Yıldız"/>
    <x v="4"/>
    <x v="0"/>
    <x v="0"/>
    <n v="2"/>
    <n v="6367"/>
    <n v="3262"/>
    <n v="12734"/>
    <n v="6210"/>
  </r>
  <r>
    <n v="1564"/>
    <x v="270"/>
    <x v="3"/>
    <s v="Emre Aydın"/>
    <x v="0"/>
    <x v="19"/>
    <x v="3"/>
    <n v="3"/>
    <n v="3083"/>
    <n v="1986"/>
    <n v="9249"/>
    <n v="3291"/>
  </r>
  <r>
    <n v="1565"/>
    <x v="164"/>
    <x v="1"/>
    <s v="Ahmet Yılmaz"/>
    <x v="1"/>
    <x v="0"/>
    <x v="0"/>
    <n v="2"/>
    <n v="4244"/>
    <n v="2497"/>
    <n v="8488"/>
    <n v="3494"/>
  </r>
  <r>
    <n v="1566"/>
    <x v="245"/>
    <x v="0"/>
    <s v="Mehmet Kaya"/>
    <x v="0"/>
    <x v="18"/>
    <x v="0"/>
    <n v="7"/>
    <n v="8236"/>
    <n v="5610"/>
    <n v="57652"/>
    <n v="18382"/>
  </r>
  <r>
    <n v="1567"/>
    <x v="259"/>
    <x v="3"/>
    <s v="Emre Aydın"/>
    <x v="2"/>
    <x v="10"/>
    <x v="1"/>
    <n v="1"/>
    <n v="5867"/>
    <n v="3182"/>
    <n v="5867"/>
    <n v="2685"/>
  </r>
  <r>
    <n v="1568"/>
    <x v="168"/>
    <x v="2"/>
    <s v="Merve Şahin"/>
    <x v="4"/>
    <x v="11"/>
    <x v="2"/>
    <n v="9"/>
    <n v="13254"/>
    <n v="7250"/>
    <n v="119286"/>
    <n v="54036"/>
  </r>
  <r>
    <n v="1569"/>
    <x v="214"/>
    <x v="4"/>
    <s v="Ayşe Demir"/>
    <x v="3"/>
    <x v="8"/>
    <x v="3"/>
    <n v="5"/>
    <n v="1216"/>
    <n v="844"/>
    <n v="6080"/>
    <n v="1860"/>
  </r>
  <r>
    <n v="1570"/>
    <x v="294"/>
    <x v="1"/>
    <s v="Mehmet Kaya"/>
    <x v="3"/>
    <x v="13"/>
    <x v="0"/>
    <n v="2"/>
    <n v="7963"/>
    <n v="4198"/>
    <n v="15926"/>
    <n v="7530"/>
  </r>
  <r>
    <n v="1571"/>
    <x v="73"/>
    <x v="3"/>
    <s v="Mehmet Kaya"/>
    <x v="0"/>
    <x v="8"/>
    <x v="3"/>
    <n v="10"/>
    <n v="3708"/>
    <n v="2449"/>
    <n v="37080"/>
    <n v="12590"/>
  </r>
  <r>
    <n v="1572"/>
    <x v="16"/>
    <x v="1"/>
    <s v="Merve Şahin"/>
    <x v="3"/>
    <x v="12"/>
    <x v="4"/>
    <n v="9"/>
    <n v="5734"/>
    <n v="3774"/>
    <n v="51606"/>
    <n v="17640"/>
  </r>
  <r>
    <n v="1573"/>
    <x v="198"/>
    <x v="2"/>
    <s v="Ayşe Demir"/>
    <x v="2"/>
    <x v="15"/>
    <x v="2"/>
    <n v="4"/>
    <n v="17524"/>
    <n v="9986"/>
    <n v="70096"/>
    <n v="30152"/>
  </r>
  <r>
    <n v="1574"/>
    <x v="119"/>
    <x v="0"/>
    <s v="Mehmet Kaya"/>
    <x v="2"/>
    <x v="9"/>
    <x v="3"/>
    <n v="9"/>
    <n v="1185"/>
    <n v="638"/>
    <n v="10665"/>
    <n v="4923"/>
  </r>
  <r>
    <n v="1575"/>
    <x v="228"/>
    <x v="0"/>
    <s v="Emre Aydın"/>
    <x v="0"/>
    <x v="2"/>
    <x v="2"/>
    <n v="10"/>
    <n v="14323"/>
    <n v="10039"/>
    <n v="143230"/>
    <n v="42840"/>
  </r>
  <r>
    <n v="1576"/>
    <x v="7"/>
    <x v="1"/>
    <s v="Mehmet Kaya"/>
    <x v="0"/>
    <x v="19"/>
    <x v="3"/>
    <n v="9"/>
    <n v="1515"/>
    <n v="887"/>
    <n v="13635"/>
    <n v="5652"/>
  </r>
  <r>
    <n v="1577"/>
    <x v="296"/>
    <x v="2"/>
    <s v="Seda Yıldız"/>
    <x v="1"/>
    <x v="3"/>
    <x v="3"/>
    <n v="4"/>
    <n v="3072"/>
    <n v="2248"/>
    <n v="12288"/>
    <n v="3296"/>
  </r>
  <r>
    <n v="1578"/>
    <x v="171"/>
    <x v="3"/>
    <s v="Seda Yıldız"/>
    <x v="4"/>
    <x v="11"/>
    <x v="2"/>
    <n v="1"/>
    <n v="23554"/>
    <n v="16942"/>
    <n v="23554"/>
    <n v="6612"/>
  </r>
  <r>
    <n v="1579"/>
    <x v="132"/>
    <x v="1"/>
    <s v="Emre Aydın"/>
    <x v="0"/>
    <x v="12"/>
    <x v="4"/>
    <n v="7"/>
    <n v="5593"/>
    <n v="3902"/>
    <n v="39151"/>
    <n v="11837"/>
  </r>
  <r>
    <n v="1580"/>
    <x v="219"/>
    <x v="0"/>
    <s v="Elif Kaya"/>
    <x v="2"/>
    <x v="1"/>
    <x v="1"/>
    <n v="5"/>
    <n v="1255"/>
    <n v="885"/>
    <n v="6275"/>
    <n v="1850"/>
  </r>
  <r>
    <n v="1581"/>
    <x v="23"/>
    <x v="3"/>
    <s v="Mehmet Kaya"/>
    <x v="2"/>
    <x v="12"/>
    <x v="4"/>
    <n v="4"/>
    <n v="988"/>
    <n v="777"/>
    <n v="3952"/>
    <n v="844"/>
  </r>
  <r>
    <n v="1582"/>
    <x v="76"/>
    <x v="2"/>
    <s v="Seda Yıldız"/>
    <x v="0"/>
    <x v="3"/>
    <x v="3"/>
    <n v="5"/>
    <n v="1519"/>
    <n v="892"/>
    <n v="7595"/>
    <n v="3135"/>
  </r>
  <r>
    <n v="1583"/>
    <x v="217"/>
    <x v="4"/>
    <s v="Merve Şahin"/>
    <x v="3"/>
    <x v="11"/>
    <x v="2"/>
    <n v="7"/>
    <n v="6588"/>
    <n v="5187"/>
    <n v="46116"/>
    <n v="9807"/>
  </r>
  <r>
    <n v="1584"/>
    <x v="137"/>
    <x v="1"/>
    <s v="Mehmet Kaya"/>
    <x v="0"/>
    <x v="15"/>
    <x v="2"/>
    <n v="9"/>
    <n v="5529"/>
    <n v="3903"/>
    <n v="49761"/>
    <n v="14634"/>
  </r>
  <r>
    <n v="1585"/>
    <x v="273"/>
    <x v="3"/>
    <s v="Ayşe Demir"/>
    <x v="4"/>
    <x v="0"/>
    <x v="0"/>
    <n v="1"/>
    <n v="2242"/>
    <n v="1306"/>
    <n v="2242"/>
    <n v="936"/>
  </r>
  <r>
    <n v="1586"/>
    <x v="70"/>
    <x v="1"/>
    <s v="Can Arslan"/>
    <x v="2"/>
    <x v="14"/>
    <x v="1"/>
    <n v="4"/>
    <n v="4067"/>
    <n v="2730"/>
    <n v="16268"/>
    <n v="5348"/>
  </r>
  <r>
    <n v="1587"/>
    <x v="260"/>
    <x v="2"/>
    <s v="Mehmet Kaya"/>
    <x v="3"/>
    <x v="12"/>
    <x v="4"/>
    <n v="5"/>
    <n v="3169"/>
    <n v="2269"/>
    <n v="15845"/>
    <n v="4500"/>
  </r>
  <r>
    <n v="1588"/>
    <x v="110"/>
    <x v="0"/>
    <s v="Ahmet Yılmaz"/>
    <x v="1"/>
    <x v="5"/>
    <x v="0"/>
    <n v="8"/>
    <n v="3017"/>
    <n v="1669"/>
    <n v="24136"/>
    <n v="10784"/>
  </r>
  <r>
    <n v="1589"/>
    <x v="4"/>
    <x v="0"/>
    <s v="Emre Aydın"/>
    <x v="0"/>
    <x v="1"/>
    <x v="1"/>
    <n v="2"/>
    <n v="5688"/>
    <n v="3201"/>
    <n v="11376"/>
    <n v="4974"/>
  </r>
  <r>
    <n v="1590"/>
    <x v="253"/>
    <x v="1"/>
    <s v="Emre Aydın"/>
    <x v="2"/>
    <x v="18"/>
    <x v="0"/>
    <n v="1"/>
    <n v="2461"/>
    <n v="1813"/>
    <n v="2461"/>
    <n v="648"/>
  </r>
  <r>
    <n v="1591"/>
    <x v="238"/>
    <x v="2"/>
    <s v="Elif Kaya"/>
    <x v="4"/>
    <x v="5"/>
    <x v="0"/>
    <n v="4"/>
    <n v="4397"/>
    <n v="2719"/>
    <n v="17588"/>
    <n v="6712"/>
  </r>
  <r>
    <n v="1592"/>
    <x v="162"/>
    <x v="3"/>
    <s v="Burak Demir"/>
    <x v="3"/>
    <x v="17"/>
    <x v="2"/>
    <n v="1"/>
    <n v="12567"/>
    <n v="8664"/>
    <n v="12567"/>
    <n v="3903"/>
  </r>
  <r>
    <n v="1593"/>
    <x v="195"/>
    <x v="1"/>
    <s v="Zeynep Çelik"/>
    <x v="4"/>
    <x v="7"/>
    <x v="4"/>
    <n v="2"/>
    <n v="1611"/>
    <n v="1244"/>
    <n v="3222"/>
    <n v="734"/>
  </r>
  <r>
    <n v="1594"/>
    <x v="297"/>
    <x v="0"/>
    <s v="Seda Yıldız"/>
    <x v="4"/>
    <x v="2"/>
    <x v="2"/>
    <n v="6"/>
    <n v="19845"/>
    <n v="15184"/>
    <n v="119070"/>
    <n v="27966"/>
  </r>
  <r>
    <n v="1595"/>
    <x v="50"/>
    <x v="3"/>
    <s v="Merve Şahin"/>
    <x v="0"/>
    <x v="12"/>
    <x v="4"/>
    <n v="2"/>
    <n v="4195"/>
    <n v="3318"/>
    <n v="8390"/>
    <n v="1754"/>
  </r>
  <r>
    <n v="1596"/>
    <x v="222"/>
    <x v="2"/>
    <s v="Ahmet Yılmaz"/>
    <x v="4"/>
    <x v="11"/>
    <x v="2"/>
    <n v="7"/>
    <n v="14251"/>
    <n v="9980"/>
    <n v="99757"/>
    <n v="29897"/>
  </r>
  <r>
    <n v="1597"/>
    <x v="103"/>
    <x v="4"/>
    <s v="Burak Demir"/>
    <x v="3"/>
    <x v="1"/>
    <x v="1"/>
    <n v="4"/>
    <n v="5813"/>
    <n v="3645"/>
    <n v="23252"/>
    <n v="8672"/>
  </r>
  <r>
    <n v="1598"/>
    <x v="269"/>
    <x v="1"/>
    <s v="Ahmet Yılmaz"/>
    <x v="4"/>
    <x v="6"/>
    <x v="4"/>
    <n v="9"/>
    <n v="3836"/>
    <n v="2873"/>
    <n v="34524"/>
    <n v="8667"/>
  </r>
  <r>
    <n v="1599"/>
    <x v="259"/>
    <x v="3"/>
    <s v="Zeynep Çelik"/>
    <x v="0"/>
    <x v="10"/>
    <x v="1"/>
    <n v="4"/>
    <n v="4968"/>
    <n v="3032"/>
    <n v="19872"/>
    <n v="7744"/>
  </r>
  <r>
    <n v="1600"/>
    <x v="5"/>
    <x v="1"/>
    <s v="Can Arslan"/>
    <x v="1"/>
    <x v="15"/>
    <x v="2"/>
    <n v="1"/>
    <n v="7162"/>
    <n v="5211"/>
    <n v="7162"/>
    <n v="1951"/>
  </r>
  <r>
    <n v="1601"/>
    <x v="289"/>
    <x v="2"/>
    <s v="Ahmet Yılmaz"/>
    <x v="3"/>
    <x v="10"/>
    <x v="1"/>
    <n v="3"/>
    <n v="5442"/>
    <n v="2782"/>
    <n v="16326"/>
    <n v="7980"/>
  </r>
  <r>
    <n v="1602"/>
    <x v="249"/>
    <x v="0"/>
    <s v="Zeynep Çelik"/>
    <x v="4"/>
    <x v="19"/>
    <x v="3"/>
    <n v="6"/>
    <n v="675"/>
    <n v="486"/>
    <n v="4050"/>
    <n v="1134"/>
  </r>
  <r>
    <n v="1603"/>
    <x v="219"/>
    <x v="0"/>
    <s v="Elif Kaya"/>
    <x v="3"/>
    <x v="6"/>
    <x v="4"/>
    <n v="8"/>
    <n v="2283"/>
    <n v="1779"/>
    <n v="18264"/>
    <n v="4032"/>
  </r>
  <r>
    <n v="1604"/>
    <x v="298"/>
    <x v="1"/>
    <s v="Merve Şahin"/>
    <x v="1"/>
    <x v="19"/>
    <x v="3"/>
    <n v="3"/>
    <n v="330"/>
    <n v="207"/>
    <n v="990"/>
    <n v="369"/>
  </r>
  <r>
    <n v="1605"/>
    <x v="299"/>
    <x v="2"/>
    <s v="Ahmet Yılmaz"/>
    <x v="4"/>
    <x v="18"/>
    <x v="0"/>
    <n v="8"/>
    <n v="7111"/>
    <n v="4622"/>
    <n v="56888"/>
    <n v="19912"/>
  </r>
  <r>
    <n v="1606"/>
    <x v="159"/>
    <x v="3"/>
    <s v="Elif Kaya"/>
    <x v="4"/>
    <x v="8"/>
    <x v="3"/>
    <n v="4"/>
    <n v="362"/>
    <n v="270"/>
    <n v="1448"/>
    <n v="368"/>
  </r>
  <r>
    <n v="1607"/>
    <x v="163"/>
    <x v="1"/>
    <s v="Ayşe Demir"/>
    <x v="1"/>
    <x v="10"/>
    <x v="1"/>
    <n v="8"/>
    <n v="7825"/>
    <n v="6156"/>
    <n v="62600"/>
    <n v="13352"/>
  </r>
  <r>
    <n v="1608"/>
    <x v="192"/>
    <x v="0"/>
    <s v="Ahmet Yılmaz"/>
    <x v="1"/>
    <x v="10"/>
    <x v="1"/>
    <n v="4"/>
    <n v="2648"/>
    <n v="1552"/>
    <n v="10592"/>
    <n v="4384"/>
  </r>
  <r>
    <n v="1609"/>
    <x v="269"/>
    <x v="3"/>
    <s v="Can Arslan"/>
    <x v="0"/>
    <x v="12"/>
    <x v="4"/>
    <n v="6"/>
    <n v="6885"/>
    <n v="4795"/>
    <n v="41310"/>
    <n v="12540"/>
  </r>
  <r>
    <n v="1610"/>
    <x v="186"/>
    <x v="2"/>
    <s v="Can Arslan"/>
    <x v="2"/>
    <x v="17"/>
    <x v="2"/>
    <n v="3"/>
    <n v="8293"/>
    <n v="5050"/>
    <n v="24879"/>
    <n v="9729"/>
  </r>
  <r>
    <n v="1611"/>
    <x v="300"/>
    <x v="4"/>
    <s v="Burak Demir"/>
    <x v="1"/>
    <x v="19"/>
    <x v="3"/>
    <n v="9"/>
    <n v="1969"/>
    <n v="1107"/>
    <n v="17721"/>
    <n v="7758"/>
  </r>
  <r>
    <n v="1612"/>
    <x v="89"/>
    <x v="1"/>
    <s v="Emre Aydın"/>
    <x v="0"/>
    <x v="2"/>
    <x v="2"/>
    <n v="9"/>
    <n v="5199"/>
    <n v="3448"/>
    <n v="46791"/>
    <n v="15759"/>
  </r>
  <r>
    <n v="1613"/>
    <x v="301"/>
    <x v="3"/>
    <s v="Zeynep Çelik"/>
    <x v="3"/>
    <x v="9"/>
    <x v="3"/>
    <n v="4"/>
    <n v="3538"/>
    <n v="2729"/>
    <n v="14152"/>
    <n v="3236"/>
  </r>
  <r>
    <n v="1614"/>
    <x v="295"/>
    <x v="1"/>
    <s v="Emre Aydın"/>
    <x v="3"/>
    <x v="9"/>
    <x v="3"/>
    <n v="4"/>
    <n v="2977"/>
    <n v="1911"/>
    <n v="11908"/>
    <n v="4264"/>
  </r>
  <r>
    <n v="1615"/>
    <x v="113"/>
    <x v="2"/>
    <s v="Elif Kaya"/>
    <x v="0"/>
    <x v="15"/>
    <x v="2"/>
    <n v="1"/>
    <n v="24792"/>
    <n v="12557"/>
    <n v="24792"/>
    <n v="12235"/>
  </r>
  <r>
    <n v="1616"/>
    <x v="302"/>
    <x v="0"/>
    <s v="Burak Demir"/>
    <x v="4"/>
    <x v="4"/>
    <x v="1"/>
    <n v="6"/>
    <n v="6434"/>
    <n v="4459"/>
    <n v="38604"/>
    <n v="11850"/>
  </r>
  <r>
    <n v="1617"/>
    <x v="119"/>
    <x v="0"/>
    <s v="Can Arslan"/>
    <x v="0"/>
    <x v="17"/>
    <x v="2"/>
    <n v="9"/>
    <n v="24126"/>
    <n v="17372"/>
    <n v="217134"/>
    <n v="60786"/>
  </r>
  <r>
    <n v="1618"/>
    <x v="82"/>
    <x v="1"/>
    <s v="Merve Şahin"/>
    <x v="1"/>
    <x v="4"/>
    <x v="1"/>
    <n v="9"/>
    <n v="4868"/>
    <n v="2958"/>
    <n v="43812"/>
    <n v="17190"/>
  </r>
  <r>
    <n v="1619"/>
    <x v="40"/>
    <x v="2"/>
    <s v="Seda Yıldız"/>
    <x v="2"/>
    <x v="0"/>
    <x v="0"/>
    <n v="6"/>
    <n v="10556"/>
    <n v="7163"/>
    <n v="63336"/>
    <n v="20358"/>
  </r>
  <r>
    <n v="1620"/>
    <x v="281"/>
    <x v="3"/>
    <s v="Merve Şahin"/>
    <x v="4"/>
    <x v="11"/>
    <x v="2"/>
    <n v="10"/>
    <n v="11857"/>
    <n v="7450"/>
    <n v="118570"/>
    <n v="44070"/>
  </r>
  <r>
    <n v="1621"/>
    <x v="276"/>
    <x v="1"/>
    <s v="Elif Kaya"/>
    <x v="2"/>
    <x v="15"/>
    <x v="2"/>
    <n v="2"/>
    <n v="6701"/>
    <n v="5127"/>
    <n v="13402"/>
    <n v="3148"/>
  </r>
  <r>
    <n v="1622"/>
    <x v="120"/>
    <x v="0"/>
    <s v="Seda Yıldız"/>
    <x v="0"/>
    <x v="8"/>
    <x v="3"/>
    <n v="2"/>
    <n v="3358"/>
    <n v="2572"/>
    <n v="6716"/>
    <n v="1572"/>
  </r>
  <r>
    <n v="1623"/>
    <x v="292"/>
    <x v="3"/>
    <s v="Can Arslan"/>
    <x v="2"/>
    <x v="18"/>
    <x v="0"/>
    <n v="10"/>
    <n v="4426"/>
    <n v="2306"/>
    <n v="44260"/>
    <n v="21200"/>
  </r>
  <r>
    <n v="1624"/>
    <x v="76"/>
    <x v="2"/>
    <s v="Elif Kaya"/>
    <x v="0"/>
    <x v="2"/>
    <x v="2"/>
    <n v="1"/>
    <n v="20318"/>
    <n v="14495"/>
    <n v="20318"/>
    <n v="5823"/>
  </r>
  <r>
    <n v="1625"/>
    <x v="303"/>
    <x v="4"/>
    <s v="Ahmet Yılmaz"/>
    <x v="3"/>
    <x v="14"/>
    <x v="1"/>
    <n v="2"/>
    <n v="4621"/>
    <n v="3436"/>
    <n v="9242"/>
    <n v="2370"/>
  </r>
  <r>
    <n v="1626"/>
    <x v="251"/>
    <x v="1"/>
    <s v="Zeynep Çelik"/>
    <x v="3"/>
    <x v="1"/>
    <x v="1"/>
    <n v="2"/>
    <n v="5727"/>
    <n v="3028"/>
    <n v="11454"/>
    <n v="5398"/>
  </r>
  <r>
    <n v="1627"/>
    <x v="304"/>
    <x v="3"/>
    <s v="Elif Kaya"/>
    <x v="3"/>
    <x v="19"/>
    <x v="3"/>
    <n v="6"/>
    <n v="841"/>
    <n v="629"/>
    <n v="5046"/>
    <n v="1272"/>
  </r>
  <r>
    <n v="1628"/>
    <x v="125"/>
    <x v="1"/>
    <s v="Ayşe Demir"/>
    <x v="0"/>
    <x v="4"/>
    <x v="1"/>
    <n v="10"/>
    <n v="2447"/>
    <n v="1908"/>
    <n v="24470"/>
    <n v="5390"/>
  </r>
  <r>
    <n v="1629"/>
    <x v="156"/>
    <x v="2"/>
    <s v="Ayşe Demir"/>
    <x v="3"/>
    <x v="16"/>
    <x v="4"/>
    <n v="4"/>
    <n v="4689"/>
    <n v="3518"/>
    <n v="18756"/>
    <n v="4684"/>
  </r>
  <r>
    <n v="1630"/>
    <x v="95"/>
    <x v="0"/>
    <s v="Can Arslan"/>
    <x v="2"/>
    <x v="16"/>
    <x v="4"/>
    <n v="7"/>
    <n v="3150"/>
    <n v="1975"/>
    <n v="22050"/>
    <n v="8225"/>
  </r>
  <r>
    <n v="1631"/>
    <x v="305"/>
    <x v="0"/>
    <s v="Elif Kaya"/>
    <x v="3"/>
    <x v="7"/>
    <x v="4"/>
    <n v="9"/>
    <n v="2549"/>
    <n v="1983"/>
    <n v="22941"/>
    <n v="5094"/>
  </r>
  <r>
    <n v="1632"/>
    <x v="75"/>
    <x v="1"/>
    <s v="Burak Demir"/>
    <x v="1"/>
    <x v="1"/>
    <x v="1"/>
    <n v="9"/>
    <n v="1238"/>
    <n v="626"/>
    <n v="11142"/>
    <n v="5508"/>
  </r>
  <r>
    <n v="1633"/>
    <x v="103"/>
    <x v="2"/>
    <s v="Can Arslan"/>
    <x v="0"/>
    <x v="11"/>
    <x v="2"/>
    <n v="10"/>
    <n v="9307"/>
    <n v="5758"/>
    <n v="93070"/>
    <n v="35490"/>
  </r>
  <r>
    <n v="1634"/>
    <x v="28"/>
    <x v="3"/>
    <s v="Zeynep Çelik"/>
    <x v="1"/>
    <x v="2"/>
    <x v="2"/>
    <n v="7"/>
    <n v="20114"/>
    <n v="14643"/>
    <n v="140798"/>
    <n v="38297"/>
  </r>
  <r>
    <n v="1635"/>
    <x v="89"/>
    <x v="1"/>
    <s v="Ayşe Demir"/>
    <x v="3"/>
    <x v="13"/>
    <x v="0"/>
    <n v="6"/>
    <n v="4628"/>
    <n v="3662"/>
    <n v="27768"/>
    <n v="5796"/>
  </r>
  <r>
    <n v="1636"/>
    <x v="68"/>
    <x v="0"/>
    <s v="Can Arslan"/>
    <x v="0"/>
    <x v="15"/>
    <x v="2"/>
    <n v="10"/>
    <n v="8559"/>
    <n v="4738"/>
    <n v="85590"/>
    <n v="38210"/>
  </r>
  <r>
    <n v="1637"/>
    <x v="178"/>
    <x v="3"/>
    <s v="Mehmet Kaya"/>
    <x v="4"/>
    <x v="10"/>
    <x v="1"/>
    <n v="5"/>
    <n v="6628"/>
    <n v="3650"/>
    <n v="33140"/>
    <n v="14890"/>
  </r>
  <r>
    <n v="1638"/>
    <x v="306"/>
    <x v="2"/>
    <s v="Ayşe Demir"/>
    <x v="4"/>
    <x v="16"/>
    <x v="4"/>
    <n v="3"/>
    <n v="5929"/>
    <n v="4408"/>
    <n v="17787"/>
    <n v="4563"/>
  </r>
  <r>
    <n v="1639"/>
    <x v="307"/>
    <x v="4"/>
    <s v="Can Arslan"/>
    <x v="1"/>
    <x v="1"/>
    <x v="1"/>
    <n v="7"/>
    <n v="5732"/>
    <n v="3138"/>
    <n v="40124"/>
    <n v="18158"/>
  </r>
  <r>
    <n v="1640"/>
    <x v="234"/>
    <x v="1"/>
    <s v="Emre Aydın"/>
    <x v="1"/>
    <x v="7"/>
    <x v="4"/>
    <n v="6"/>
    <n v="5036"/>
    <n v="2791"/>
    <n v="30216"/>
    <n v="13470"/>
  </r>
  <r>
    <n v="1641"/>
    <x v="68"/>
    <x v="3"/>
    <s v="Seda Yıldız"/>
    <x v="1"/>
    <x v="8"/>
    <x v="3"/>
    <n v="5"/>
    <n v="1348"/>
    <n v="781"/>
    <n v="6740"/>
    <n v="2835"/>
  </r>
  <r>
    <n v="1642"/>
    <x v="39"/>
    <x v="1"/>
    <s v="Burak Demir"/>
    <x v="3"/>
    <x v="18"/>
    <x v="0"/>
    <n v="2"/>
    <n v="5535"/>
    <n v="3554"/>
    <n v="11070"/>
    <n v="3962"/>
  </r>
  <r>
    <n v="1643"/>
    <x v="25"/>
    <x v="2"/>
    <s v="Burak Demir"/>
    <x v="4"/>
    <x v="16"/>
    <x v="4"/>
    <n v="5"/>
    <n v="6240"/>
    <n v="3127"/>
    <n v="31200"/>
    <n v="15565"/>
  </r>
  <r>
    <n v="1644"/>
    <x v="17"/>
    <x v="0"/>
    <s v="Seda Yıldız"/>
    <x v="2"/>
    <x v="9"/>
    <x v="3"/>
    <n v="1"/>
    <n v="3680"/>
    <n v="2045"/>
    <n v="3680"/>
    <n v="1635"/>
  </r>
  <r>
    <n v="1645"/>
    <x v="226"/>
    <x v="0"/>
    <s v="Seda Yıldız"/>
    <x v="4"/>
    <x v="3"/>
    <x v="3"/>
    <n v="1"/>
    <n v="2971"/>
    <n v="2150"/>
    <n v="2971"/>
    <n v="821"/>
  </r>
  <r>
    <n v="1646"/>
    <x v="120"/>
    <x v="1"/>
    <s v="Seda Yıldız"/>
    <x v="0"/>
    <x v="19"/>
    <x v="3"/>
    <n v="8"/>
    <n v="1152"/>
    <n v="659"/>
    <n v="9216"/>
    <n v="3944"/>
  </r>
  <r>
    <n v="1647"/>
    <x v="125"/>
    <x v="2"/>
    <s v="Emre Aydın"/>
    <x v="3"/>
    <x v="11"/>
    <x v="2"/>
    <n v="8"/>
    <n v="9485"/>
    <n v="5812"/>
    <n v="75880"/>
    <n v="29384"/>
  </r>
  <r>
    <n v="1648"/>
    <x v="153"/>
    <x v="3"/>
    <s v="Ayşe Demir"/>
    <x v="0"/>
    <x v="17"/>
    <x v="2"/>
    <n v="9"/>
    <n v="16313"/>
    <n v="12622"/>
    <n v="146817"/>
    <n v="33219"/>
  </r>
  <r>
    <n v="1649"/>
    <x v="34"/>
    <x v="1"/>
    <s v="Zeynep Çelik"/>
    <x v="3"/>
    <x v="15"/>
    <x v="2"/>
    <n v="2"/>
    <n v="22364"/>
    <n v="15789"/>
    <n v="44728"/>
    <n v="13150"/>
  </r>
  <r>
    <n v="1650"/>
    <x v="65"/>
    <x v="0"/>
    <s v="Merve Şahin"/>
    <x v="1"/>
    <x v="5"/>
    <x v="0"/>
    <n v="5"/>
    <n v="9885"/>
    <n v="7431"/>
    <n v="49425"/>
    <n v="12270"/>
  </r>
  <r>
    <n v="1651"/>
    <x v="225"/>
    <x v="3"/>
    <s v="Emre Aydın"/>
    <x v="3"/>
    <x v="15"/>
    <x v="2"/>
    <n v="9"/>
    <n v="11721"/>
    <n v="6873"/>
    <n v="105489"/>
    <n v="43632"/>
  </r>
  <r>
    <n v="1652"/>
    <x v="81"/>
    <x v="2"/>
    <s v="Can Arslan"/>
    <x v="3"/>
    <x v="10"/>
    <x v="1"/>
    <n v="9"/>
    <n v="3414"/>
    <n v="2596"/>
    <n v="30726"/>
    <n v="7362"/>
  </r>
  <r>
    <n v="1653"/>
    <x v="83"/>
    <x v="4"/>
    <s v="Ayşe Demir"/>
    <x v="0"/>
    <x v="4"/>
    <x v="1"/>
    <n v="3"/>
    <n v="6058"/>
    <n v="3925"/>
    <n v="18174"/>
    <n v="6399"/>
  </r>
  <r>
    <n v="1654"/>
    <x v="88"/>
    <x v="1"/>
    <s v="Can Arslan"/>
    <x v="0"/>
    <x v="14"/>
    <x v="1"/>
    <n v="8"/>
    <n v="6109"/>
    <n v="3341"/>
    <n v="48872"/>
    <n v="22144"/>
  </r>
  <r>
    <n v="1655"/>
    <x v="14"/>
    <x v="3"/>
    <s v="Emre Aydın"/>
    <x v="4"/>
    <x v="11"/>
    <x v="2"/>
    <n v="9"/>
    <n v="24894"/>
    <n v="14886"/>
    <n v="224046"/>
    <n v="90072"/>
  </r>
  <r>
    <n v="1656"/>
    <x v="289"/>
    <x v="1"/>
    <s v="Elif Kaya"/>
    <x v="3"/>
    <x v="9"/>
    <x v="3"/>
    <n v="3"/>
    <n v="3023"/>
    <n v="2204"/>
    <n v="9069"/>
    <n v="2457"/>
  </r>
  <r>
    <n v="1657"/>
    <x v="87"/>
    <x v="2"/>
    <s v="Can Arslan"/>
    <x v="2"/>
    <x v="13"/>
    <x v="0"/>
    <n v="6"/>
    <n v="6492"/>
    <n v="4576"/>
    <n v="38952"/>
    <n v="11496"/>
  </r>
  <r>
    <n v="1658"/>
    <x v="89"/>
    <x v="0"/>
    <s v="Elif Kaya"/>
    <x v="3"/>
    <x v="3"/>
    <x v="3"/>
    <n v="2"/>
    <n v="2912"/>
    <n v="2031"/>
    <n v="5824"/>
    <n v="1762"/>
  </r>
  <r>
    <n v="1659"/>
    <x v="232"/>
    <x v="0"/>
    <s v="Merve Şahin"/>
    <x v="0"/>
    <x v="2"/>
    <x v="2"/>
    <n v="1"/>
    <n v="14891"/>
    <n v="11309"/>
    <n v="14891"/>
    <n v="3582"/>
  </r>
  <r>
    <n v="1660"/>
    <x v="185"/>
    <x v="1"/>
    <s v="Can Arslan"/>
    <x v="2"/>
    <x v="14"/>
    <x v="1"/>
    <n v="6"/>
    <n v="1180"/>
    <n v="712"/>
    <n v="7080"/>
    <n v="2808"/>
  </r>
  <r>
    <n v="1661"/>
    <x v="151"/>
    <x v="2"/>
    <s v="Can Arslan"/>
    <x v="0"/>
    <x v="1"/>
    <x v="1"/>
    <n v="9"/>
    <n v="5624"/>
    <n v="3560"/>
    <n v="50616"/>
    <n v="18576"/>
  </r>
  <r>
    <n v="1662"/>
    <x v="199"/>
    <x v="3"/>
    <s v="Emre Aydın"/>
    <x v="4"/>
    <x v="2"/>
    <x v="2"/>
    <n v="4"/>
    <n v="15010"/>
    <n v="11441"/>
    <n v="60040"/>
    <n v="14276"/>
  </r>
  <r>
    <n v="1663"/>
    <x v="191"/>
    <x v="1"/>
    <s v="Elif Kaya"/>
    <x v="0"/>
    <x v="18"/>
    <x v="0"/>
    <n v="8"/>
    <n v="7624"/>
    <n v="3954"/>
    <n v="60992"/>
    <n v="29360"/>
  </r>
  <r>
    <n v="1664"/>
    <x v="100"/>
    <x v="0"/>
    <s v="Zeynep Çelik"/>
    <x v="2"/>
    <x v="10"/>
    <x v="1"/>
    <n v="10"/>
    <n v="6178"/>
    <n v="4597"/>
    <n v="61780"/>
    <n v="15810"/>
  </r>
  <r>
    <n v="1665"/>
    <x v="9"/>
    <x v="3"/>
    <s v="Zeynep Çelik"/>
    <x v="4"/>
    <x v="17"/>
    <x v="2"/>
    <n v="1"/>
    <n v="10430"/>
    <n v="6442"/>
    <n v="10430"/>
    <n v="3988"/>
  </r>
  <r>
    <n v="1666"/>
    <x v="308"/>
    <x v="2"/>
    <s v="Seda Yıldız"/>
    <x v="2"/>
    <x v="12"/>
    <x v="4"/>
    <n v="1"/>
    <n v="1434"/>
    <n v="1064"/>
    <n v="1434"/>
    <n v="370"/>
  </r>
  <r>
    <n v="1667"/>
    <x v="223"/>
    <x v="4"/>
    <s v="Zeynep Çelik"/>
    <x v="1"/>
    <x v="11"/>
    <x v="2"/>
    <n v="7"/>
    <n v="14297"/>
    <n v="11031"/>
    <n v="100079"/>
    <n v="22862"/>
  </r>
  <r>
    <n v="1668"/>
    <x v="76"/>
    <x v="1"/>
    <s v="Burak Demir"/>
    <x v="3"/>
    <x v="3"/>
    <x v="3"/>
    <n v="5"/>
    <n v="1473"/>
    <n v="1177"/>
    <n v="7365"/>
    <n v="1480"/>
  </r>
  <r>
    <n v="1669"/>
    <x v="227"/>
    <x v="3"/>
    <s v="Merve Şahin"/>
    <x v="4"/>
    <x v="2"/>
    <x v="2"/>
    <n v="6"/>
    <n v="14894"/>
    <n v="10656"/>
    <n v="89364"/>
    <n v="25428"/>
  </r>
  <r>
    <n v="1670"/>
    <x v="275"/>
    <x v="1"/>
    <s v="Ahmet Yılmaz"/>
    <x v="1"/>
    <x v="16"/>
    <x v="4"/>
    <n v="4"/>
    <n v="1503"/>
    <n v="953"/>
    <n v="6012"/>
    <n v="2200"/>
  </r>
  <r>
    <n v="1671"/>
    <x v="309"/>
    <x v="2"/>
    <s v="Seda Yıldız"/>
    <x v="0"/>
    <x v="19"/>
    <x v="3"/>
    <n v="4"/>
    <n v="327"/>
    <n v="244"/>
    <n v="1308"/>
    <n v="332"/>
  </r>
  <r>
    <n v="1672"/>
    <x v="58"/>
    <x v="0"/>
    <s v="Elif Kaya"/>
    <x v="2"/>
    <x v="7"/>
    <x v="4"/>
    <n v="10"/>
    <n v="2270"/>
    <n v="1300"/>
    <n v="22700"/>
    <n v="9700"/>
  </r>
  <r>
    <n v="1673"/>
    <x v="296"/>
    <x v="0"/>
    <s v="Ahmet Yılmaz"/>
    <x v="2"/>
    <x v="14"/>
    <x v="1"/>
    <n v="4"/>
    <n v="4127"/>
    <n v="2308"/>
    <n v="16508"/>
    <n v="7276"/>
  </r>
  <r>
    <n v="1674"/>
    <x v="268"/>
    <x v="1"/>
    <s v="Emre Aydın"/>
    <x v="1"/>
    <x v="2"/>
    <x v="2"/>
    <n v="6"/>
    <n v="7457"/>
    <n v="4904"/>
    <n v="44742"/>
    <n v="15318"/>
  </r>
  <r>
    <n v="1675"/>
    <x v="31"/>
    <x v="2"/>
    <s v="Burak Demir"/>
    <x v="3"/>
    <x v="1"/>
    <x v="1"/>
    <n v="2"/>
    <n v="7135"/>
    <n v="3992"/>
    <n v="14270"/>
    <n v="6286"/>
  </r>
  <r>
    <n v="1676"/>
    <x v="45"/>
    <x v="3"/>
    <s v="Burak Demir"/>
    <x v="0"/>
    <x v="6"/>
    <x v="4"/>
    <n v="5"/>
    <n v="2356"/>
    <n v="1567"/>
    <n v="11780"/>
    <n v="3945"/>
  </r>
  <r>
    <n v="1677"/>
    <x v="37"/>
    <x v="1"/>
    <s v="Ayşe Demir"/>
    <x v="4"/>
    <x v="10"/>
    <x v="1"/>
    <n v="9"/>
    <n v="7126"/>
    <n v="3705"/>
    <n v="64134"/>
    <n v="30789"/>
  </r>
  <r>
    <n v="1678"/>
    <x v="310"/>
    <x v="0"/>
    <s v="Merve Şahin"/>
    <x v="3"/>
    <x v="19"/>
    <x v="3"/>
    <n v="2"/>
    <n v="685"/>
    <n v="532"/>
    <n v="1370"/>
    <n v="306"/>
  </r>
  <r>
    <n v="1679"/>
    <x v="290"/>
    <x v="3"/>
    <s v="Zeynep Çelik"/>
    <x v="4"/>
    <x v="17"/>
    <x v="2"/>
    <n v="2"/>
    <n v="17431"/>
    <n v="10152"/>
    <n v="34862"/>
    <n v="14558"/>
  </r>
  <r>
    <n v="1680"/>
    <x v="311"/>
    <x v="2"/>
    <s v="Merve Şahin"/>
    <x v="1"/>
    <x v="2"/>
    <x v="2"/>
    <n v="10"/>
    <n v="14171"/>
    <n v="7960"/>
    <n v="141710"/>
    <n v="62110"/>
  </r>
  <r>
    <n v="1681"/>
    <x v="312"/>
    <x v="4"/>
    <s v="Seda Yıldız"/>
    <x v="2"/>
    <x v="0"/>
    <x v="0"/>
    <n v="2"/>
    <n v="2842"/>
    <n v="1939"/>
    <n v="5684"/>
    <n v="1806"/>
  </r>
  <r>
    <n v="1682"/>
    <x v="121"/>
    <x v="1"/>
    <s v="Ahmet Yılmaz"/>
    <x v="2"/>
    <x v="9"/>
    <x v="3"/>
    <n v="8"/>
    <n v="3537"/>
    <n v="2088"/>
    <n v="28296"/>
    <n v="11592"/>
  </r>
  <r>
    <n v="1683"/>
    <x v="143"/>
    <x v="3"/>
    <s v="Merve Şahin"/>
    <x v="2"/>
    <x v="15"/>
    <x v="2"/>
    <n v="6"/>
    <n v="17804"/>
    <n v="10957"/>
    <n v="106824"/>
    <n v="41082"/>
  </r>
  <r>
    <n v="1684"/>
    <x v="133"/>
    <x v="1"/>
    <s v="Merve Şahin"/>
    <x v="3"/>
    <x v="4"/>
    <x v="1"/>
    <n v="10"/>
    <n v="5494"/>
    <n v="3487"/>
    <n v="54940"/>
    <n v="20070"/>
  </r>
  <r>
    <n v="1685"/>
    <x v="221"/>
    <x v="2"/>
    <s v="Mehmet Kaya"/>
    <x v="3"/>
    <x v="3"/>
    <x v="3"/>
    <n v="6"/>
    <n v="2442"/>
    <n v="1948"/>
    <n v="14652"/>
    <n v="2964"/>
  </r>
  <r>
    <n v="1686"/>
    <x v="14"/>
    <x v="0"/>
    <s v="Ahmet Yılmaz"/>
    <x v="4"/>
    <x v="9"/>
    <x v="3"/>
    <n v="3"/>
    <n v="348"/>
    <n v="181"/>
    <n v="1044"/>
    <n v="501"/>
  </r>
  <r>
    <n v="1687"/>
    <x v="212"/>
    <x v="0"/>
    <s v="Merve Şahin"/>
    <x v="2"/>
    <x v="13"/>
    <x v="0"/>
    <n v="4"/>
    <n v="9723"/>
    <n v="7075"/>
    <n v="38892"/>
    <n v="10592"/>
  </r>
  <r>
    <n v="1688"/>
    <x v="163"/>
    <x v="1"/>
    <s v="Merve Şahin"/>
    <x v="1"/>
    <x v="1"/>
    <x v="1"/>
    <n v="6"/>
    <n v="4062"/>
    <n v="2717"/>
    <n v="24372"/>
    <n v="8070"/>
  </r>
  <r>
    <n v="1689"/>
    <x v="74"/>
    <x v="2"/>
    <s v="Can Arslan"/>
    <x v="3"/>
    <x v="15"/>
    <x v="2"/>
    <n v="7"/>
    <n v="14559"/>
    <n v="11346"/>
    <n v="101913"/>
    <n v="22491"/>
  </r>
  <r>
    <n v="1690"/>
    <x v="313"/>
    <x v="3"/>
    <s v="Mehmet Kaya"/>
    <x v="4"/>
    <x v="10"/>
    <x v="1"/>
    <n v="1"/>
    <n v="5741"/>
    <n v="4203"/>
    <n v="5741"/>
    <n v="1538"/>
  </r>
  <r>
    <n v="1691"/>
    <x v="122"/>
    <x v="1"/>
    <s v="Ahmet Yılmaz"/>
    <x v="4"/>
    <x v="8"/>
    <x v="3"/>
    <n v="3"/>
    <n v="1012"/>
    <n v="681"/>
    <n v="3036"/>
    <n v="993"/>
  </r>
  <r>
    <n v="1692"/>
    <x v="2"/>
    <x v="0"/>
    <s v="Emre Aydın"/>
    <x v="2"/>
    <x v="17"/>
    <x v="2"/>
    <n v="10"/>
    <n v="14783"/>
    <n v="9136"/>
    <n v="147830"/>
    <n v="56470"/>
  </r>
  <r>
    <n v="1693"/>
    <x v="113"/>
    <x v="3"/>
    <s v="Zeynep Çelik"/>
    <x v="2"/>
    <x v="11"/>
    <x v="2"/>
    <n v="1"/>
    <n v="11696"/>
    <n v="8867"/>
    <n v="11696"/>
    <n v="2829"/>
  </r>
  <r>
    <n v="1694"/>
    <x v="314"/>
    <x v="2"/>
    <s v="Can Arslan"/>
    <x v="2"/>
    <x v="6"/>
    <x v="4"/>
    <n v="2"/>
    <n v="1377"/>
    <n v="997"/>
    <n v="2754"/>
    <n v="760"/>
  </r>
  <r>
    <n v="1695"/>
    <x v="35"/>
    <x v="4"/>
    <s v="Emre Aydın"/>
    <x v="4"/>
    <x v="3"/>
    <x v="3"/>
    <n v="6"/>
    <n v="1750"/>
    <n v="1152"/>
    <n v="10500"/>
    <n v="3588"/>
  </r>
  <r>
    <n v="1696"/>
    <x v="78"/>
    <x v="1"/>
    <s v="Burak Demir"/>
    <x v="0"/>
    <x v="1"/>
    <x v="1"/>
    <n v="6"/>
    <n v="3844"/>
    <n v="2759"/>
    <n v="23064"/>
    <n v="6510"/>
  </r>
  <r>
    <n v="1697"/>
    <x v="315"/>
    <x v="3"/>
    <s v="Emre Aydın"/>
    <x v="4"/>
    <x v="10"/>
    <x v="1"/>
    <n v="4"/>
    <n v="2456"/>
    <n v="1477"/>
    <n v="9824"/>
    <n v="3916"/>
  </r>
  <r>
    <n v="1698"/>
    <x v="212"/>
    <x v="1"/>
    <s v="Burak Demir"/>
    <x v="2"/>
    <x v="15"/>
    <x v="2"/>
    <n v="8"/>
    <n v="16721"/>
    <n v="9914"/>
    <n v="133768"/>
    <n v="54456"/>
  </r>
  <r>
    <n v="1699"/>
    <x v="164"/>
    <x v="2"/>
    <s v="Seda Yıldız"/>
    <x v="3"/>
    <x v="10"/>
    <x v="1"/>
    <n v="4"/>
    <n v="1064"/>
    <n v="639"/>
    <n v="4256"/>
    <n v="1700"/>
  </r>
  <r>
    <n v="1700"/>
    <x v="204"/>
    <x v="0"/>
    <s v="Zeynep Çelik"/>
    <x v="4"/>
    <x v="12"/>
    <x v="4"/>
    <n v="8"/>
    <n v="3101"/>
    <n v="2182"/>
    <n v="24808"/>
    <n v="7352"/>
  </r>
  <r>
    <n v="1701"/>
    <x v="246"/>
    <x v="0"/>
    <s v="Emre Aydın"/>
    <x v="1"/>
    <x v="18"/>
    <x v="0"/>
    <n v="1"/>
    <n v="10547"/>
    <n v="8437"/>
    <n v="10547"/>
    <n v="2110"/>
  </r>
  <r>
    <n v="1702"/>
    <x v="51"/>
    <x v="1"/>
    <s v="Zeynep Çelik"/>
    <x v="2"/>
    <x v="16"/>
    <x v="4"/>
    <n v="7"/>
    <n v="6674"/>
    <n v="3652"/>
    <n v="46718"/>
    <n v="21154"/>
  </r>
  <r>
    <n v="1703"/>
    <x v="214"/>
    <x v="2"/>
    <s v="Seda Yıldız"/>
    <x v="1"/>
    <x v="2"/>
    <x v="2"/>
    <n v="6"/>
    <n v="18724"/>
    <n v="14852"/>
    <n v="112344"/>
    <n v="23232"/>
  </r>
  <r>
    <n v="1704"/>
    <x v="316"/>
    <x v="3"/>
    <s v="Emre Aydın"/>
    <x v="0"/>
    <x v="3"/>
    <x v="3"/>
    <n v="2"/>
    <n v="2349"/>
    <n v="1723"/>
    <n v="4698"/>
    <n v="1252"/>
  </r>
  <r>
    <n v="1705"/>
    <x v="317"/>
    <x v="1"/>
    <s v="Seda Yıldız"/>
    <x v="1"/>
    <x v="4"/>
    <x v="1"/>
    <n v="3"/>
    <n v="1217"/>
    <n v="692"/>
    <n v="3651"/>
    <n v="1575"/>
  </r>
  <r>
    <n v="1706"/>
    <x v="299"/>
    <x v="0"/>
    <s v="Ayşe Demir"/>
    <x v="0"/>
    <x v="2"/>
    <x v="2"/>
    <n v="5"/>
    <n v="20179"/>
    <n v="10117"/>
    <n v="100895"/>
    <n v="50310"/>
  </r>
  <r>
    <n v="1707"/>
    <x v="40"/>
    <x v="3"/>
    <s v="Ahmet Yılmaz"/>
    <x v="3"/>
    <x v="0"/>
    <x v="0"/>
    <n v="4"/>
    <n v="7628"/>
    <n v="5551"/>
    <n v="30512"/>
    <n v="8308"/>
  </r>
  <r>
    <n v="1708"/>
    <x v="50"/>
    <x v="2"/>
    <s v="Ayşe Demir"/>
    <x v="3"/>
    <x v="2"/>
    <x v="2"/>
    <n v="5"/>
    <n v="7150"/>
    <n v="4356"/>
    <n v="35750"/>
    <n v="13970"/>
  </r>
  <r>
    <n v="1709"/>
    <x v="118"/>
    <x v="4"/>
    <s v="Ayşe Demir"/>
    <x v="4"/>
    <x v="1"/>
    <x v="1"/>
    <n v="1"/>
    <n v="3507"/>
    <n v="1879"/>
    <n v="3507"/>
    <n v="1628"/>
  </r>
  <r>
    <n v="1710"/>
    <x v="28"/>
    <x v="1"/>
    <s v="Mehmet Kaya"/>
    <x v="4"/>
    <x v="12"/>
    <x v="4"/>
    <n v="10"/>
    <n v="3258"/>
    <n v="2510"/>
    <n v="32580"/>
    <n v="7480"/>
  </r>
  <r>
    <n v="1711"/>
    <x v="62"/>
    <x v="3"/>
    <s v="Burak Demir"/>
    <x v="0"/>
    <x v="1"/>
    <x v="1"/>
    <n v="8"/>
    <n v="7595"/>
    <n v="4914"/>
    <n v="60760"/>
    <n v="21448"/>
  </r>
  <r>
    <n v="1712"/>
    <x v="318"/>
    <x v="1"/>
    <s v="Ahmet Yılmaz"/>
    <x v="3"/>
    <x v="1"/>
    <x v="1"/>
    <n v="5"/>
    <n v="1951"/>
    <n v="1148"/>
    <n v="9755"/>
    <n v="4015"/>
  </r>
  <r>
    <n v="1713"/>
    <x v="222"/>
    <x v="2"/>
    <s v="Merve Şahin"/>
    <x v="1"/>
    <x v="15"/>
    <x v="2"/>
    <n v="4"/>
    <n v="21714"/>
    <n v="13209"/>
    <n v="86856"/>
    <n v="34020"/>
  </r>
  <r>
    <n v="1714"/>
    <x v="47"/>
    <x v="0"/>
    <s v="Ayşe Demir"/>
    <x v="3"/>
    <x v="1"/>
    <x v="1"/>
    <n v="1"/>
    <n v="4984"/>
    <n v="3306"/>
    <n v="4984"/>
    <n v="1678"/>
  </r>
  <r>
    <n v="1715"/>
    <x v="229"/>
    <x v="0"/>
    <s v="Ahmet Yılmaz"/>
    <x v="3"/>
    <x v="13"/>
    <x v="0"/>
    <n v="2"/>
    <n v="10338"/>
    <n v="5188"/>
    <n v="20676"/>
    <n v="10300"/>
  </r>
  <r>
    <n v="1716"/>
    <x v="185"/>
    <x v="1"/>
    <s v="Merve Şahin"/>
    <x v="3"/>
    <x v="5"/>
    <x v="0"/>
    <n v="6"/>
    <n v="3837"/>
    <n v="2158"/>
    <n v="23022"/>
    <n v="10074"/>
  </r>
  <r>
    <n v="1717"/>
    <x v="104"/>
    <x v="2"/>
    <s v="Zeynep Çelik"/>
    <x v="2"/>
    <x v="18"/>
    <x v="0"/>
    <n v="10"/>
    <n v="5735"/>
    <n v="4141"/>
    <n v="57350"/>
    <n v="15940"/>
  </r>
  <r>
    <n v="1718"/>
    <x v="213"/>
    <x v="3"/>
    <s v="Mehmet Kaya"/>
    <x v="4"/>
    <x v="12"/>
    <x v="4"/>
    <n v="1"/>
    <n v="1159"/>
    <n v="617"/>
    <n v="1159"/>
    <n v="542"/>
  </r>
  <r>
    <n v="1719"/>
    <x v="175"/>
    <x v="1"/>
    <s v="Ahmet Yılmaz"/>
    <x v="1"/>
    <x v="15"/>
    <x v="2"/>
    <n v="7"/>
    <n v="22458"/>
    <n v="15399"/>
    <n v="157206"/>
    <n v="49413"/>
  </r>
  <r>
    <n v="1720"/>
    <x v="101"/>
    <x v="0"/>
    <s v="Can Arslan"/>
    <x v="0"/>
    <x v="16"/>
    <x v="4"/>
    <n v="9"/>
    <n v="6704"/>
    <n v="3792"/>
    <n v="60336"/>
    <n v="26208"/>
  </r>
  <r>
    <n v="1721"/>
    <x v="175"/>
    <x v="3"/>
    <s v="Zeynep Çelik"/>
    <x v="0"/>
    <x v="19"/>
    <x v="3"/>
    <n v="6"/>
    <n v="1764"/>
    <n v="985"/>
    <n v="10584"/>
    <n v="4674"/>
  </r>
  <r>
    <n v="1722"/>
    <x v="292"/>
    <x v="2"/>
    <s v="Burak Demir"/>
    <x v="3"/>
    <x v="15"/>
    <x v="2"/>
    <n v="3"/>
    <n v="5002"/>
    <n v="2855"/>
    <n v="15006"/>
    <n v="6441"/>
  </r>
  <r>
    <n v="1723"/>
    <x v="12"/>
    <x v="4"/>
    <s v="Can Arslan"/>
    <x v="3"/>
    <x v="14"/>
    <x v="1"/>
    <n v="5"/>
    <n v="3382"/>
    <n v="2418"/>
    <n v="16910"/>
    <n v="4820"/>
  </r>
  <r>
    <n v="1724"/>
    <x v="67"/>
    <x v="1"/>
    <s v="Elif Kaya"/>
    <x v="3"/>
    <x v="10"/>
    <x v="1"/>
    <n v="5"/>
    <n v="2250"/>
    <n v="1789"/>
    <n v="11250"/>
    <n v="2305"/>
  </r>
  <r>
    <n v="1725"/>
    <x v="214"/>
    <x v="3"/>
    <s v="Merve Şahin"/>
    <x v="4"/>
    <x v="13"/>
    <x v="0"/>
    <n v="1"/>
    <n v="11801"/>
    <n v="8026"/>
    <n v="11801"/>
    <n v="3775"/>
  </r>
  <r>
    <n v="1726"/>
    <x v="319"/>
    <x v="1"/>
    <s v="Ahmet Yılmaz"/>
    <x v="1"/>
    <x v="1"/>
    <x v="1"/>
    <n v="3"/>
    <n v="7565"/>
    <n v="5700"/>
    <n v="22695"/>
    <n v="5595"/>
  </r>
  <r>
    <n v="1727"/>
    <x v="5"/>
    <x v="2"/>
    <s v="Can Arslan"/>
    <x v="3"/>
    <x v="13"/>
    <x v="0"/>
    <n v="10"/>
    <n v="7486"/>
    <n v="4035"/>
    <n v="74860"/>
    <n v="34510"/>
  </r>
  <r>
    <n v="1728"/>
    <x v="164"/>
    <x v="0"/>
    <s v="Seda Yıldız"/>
    <x v="1"/>
    <x v="14"/>
    <x v="1"/>
    <n v="8"/>
    <n v="1276"/>
    <n v="877"/>
    <n v="10208"/>
    <n v="3192"/>
  </r>
  <r>
    <n v="1729"/>
    <x v="62"/>
    <x v="0"/>
    <s v="Can Arslan"/>
    <x v="4"/>
    <x v="19"/>
    <x v="3"/>
    <n v="9"/>
    <n v="1733"/>
    <n v="1383"/>
    <n v="15597"/>
    <n v="3150"/>
  </r>
  <r>
    <n v="1730"/>
    <x v="228"/>
    <x v="1"/>
    <s v="Emre Aydın"/>
    <x v="3"/>
    <x v="18"/>
    <x v="0"/>
    <n v="1"/>
    <n v="3481"/>
    <n v="2088"/>
    <n v="3481"/>
    <n v="1393"/>
  </r>
  <r>
    <n v="1731"/>
    <x v="23"/>
    <x v="2"/>
    <s v="Ayşe Demir"/>
    <x v="3"/>
    <x v="4"/>
    <x v="1"/>
    <n v="6"/>
    <n v="6156"/>
    <n v="4698"/>
    <n v="36936"/>
    <n v="8748"/>
  </r>
  <r>
    <n v="1732"/>
    <x v="319"/>
    <x v="3"/>
    <s v="Ayşe Demir"/>
    <x v="4"/>
    <x v="12"/>
    <x v="4"/>
    <n v="5"/>
    <n v="2571"/>
    <n v="1832"/>
    <n v="12855"/>
    <n v="3695"/>
  </r>
  <r>
    <n v="1733"/>
    <x v="143"/>
    <x v="1"/>
    <s v="Elif Kaya"/>
    <x v="1"/>
    <x v="7"/>
    <x v="4"/>
    <n v="3"/>
    <n v="1912"/>
    <n v="1127"/>
    <n v="5736"/>
    <n v="2355"/>
  </r>
  <r>
    <n v="1734"/>
    <x v="45"/>
    <x v="0"/>
    <s v="Merve Şahin"/>
    <x v="4"/>
    <x v="18"/>
    <x v="0"/>
    <n v="5"/>
    <n v="10859"/>
    <n v="7644"/>
    <n v="54295"/>
    <n v="16075"/>
  </r>
  <r>
    <n v="1735"/>
    <x v="175"/>
    <x v="3"/>
    <s v="Merve Şahin"/>
    <x v="4"/>
    <x v="15"/>
    <x v="2"/>
    <n v="4"/>
    <n v="11491"/>
    <n v="6805"/>
    <n v="45964"/>
    <n v="18744"/>
  </r>
  <r>
    <n v="1736"/>
    <x v="304"/>
    <x v="2"/>
    <s v="Ahmet Yılmaz"/>
    <x v="3"/>
    <x v="19"/>
    <x v="3"/>
    <n v="2"/>
    <n v="2372"/>
    <n v="1215"/>
    <n v="4744"/>
    <n v="2314"/>
  </r>
  <r>
    <n v="1737"/>
    <x v="295"/>
    <x v="4"/>
    <s v="Zeynep Çelik"/>
    <x v="3"/>
    <x v="15"/>
    <x v="2"/>
    <n v="10"/>
    <n v="13276"/>
    <n v="10216"/>
    <n v="132760"/>
    <n v="30600"/>
  </r>
  <r>
    <n v="1738"/>
    <x v="44"/>
    <x v="1"/>
    <s v="Zeynep Çelik"/>
    <x v="2"/>
    <x v="19"/>
    <x v="3"/>
    <n v="6"/>
    <n v="2177"/>
    <n v="1562"/>
    <n v="13062"/>
    <n v="3690"/>
  </r>
  <r>
    <n v="1739"/>
    <x v="262"/>
    <x v="3"/>
    <s v="Ayşe Demir"/>
    <x v="3"/>
    <x v="14"/>
    <x v="1"/>
    <n v="3"/>
    <n v="5957"/>
    <n v="4752"/>
    <n v="17871"/>
    <n v="3615"/>
  </r>
  <r>
    <n v="1740"/>
    <x v="240"/>
    <x v="1"/>
    <s v="Seda Yıldız"/>
    <x v="3"/>
    <x v="1"/>
    <x v="1"/>
    <n v="7"/>
    <n v="7527"/>
    <n v="5623"/>
    <n v="52689"/>
    <n v="13328"/>
  </r>
  <r>
    <n v="1741"/>
    <x v="317"/>
    <x v="2"/>
    <s v="Seda Yıldız"/>
    <x v="1"/>
    <x v="14"/>
    <x v="1"/>
    <n v="7"/>
    <n v="7588"/>
    <n v="4067"/>
    <n v="53116"/>
    <n v="24647"/>
  </r>
  <r>
    <n v="1742"/>
    <x v="114"/>
    <x v="0"/>
    <s v="Mehmet Kaya"/>
    <x v="2"/>
    <x v="18"/>
    <x v="0"/>
    <n v="6"/>
    <n v="2678"/>
    <n v="1889"/>
    <n v="16068"/>
    <n v="4734"/>
  </r>
  <r>
    <n v="1743"/>
    <x v="250"/>
    <x v="0"/>
    <s v="Elif Kaya"/>
    <x v="0"/>
    <x v="19"/>
    <x v="3"/>
    <n v="8"/>
    <n v="3291"/>
    <n v="2016"/>
    <n v="26328"/>
    <n v="10200"/>
  </r>
  <r>
    <n v="1744"/>
    <x v="261"/>
    <x v="1"/>
    <s v="Elif Kaya"/>
    <x v="1"/>
    <x v="18"/>
    <x v="0"/>
    <n v="10"/>
    <n v="8511"/>
    <n v="5078"/>
    <n v="85110"/>
    <n v="34330"/>
  </r>
  <r>
    <n v="1745"/>
    <x v="208"/>
    <x v="2"/>
    <s v="Emre Aydın"/>
    <x v="2"/>
    <x v="5"/>
    <x v="0"/>
    <n v="6"/>
    <n v="11081"/>
    <n v="6577"/>
    <n v="66486"/>
    <n v="27024"/>
  </r>
  <r>
    <n v="1746"/>
    <x v="11"/>
    <x v="3"/>
    <s v="Burak Demir"/>
    <x v="3"/>
    <x v="12"/>
    <x v="4"/>
    <n v="2"/>
    <n v="3468"/>
    <n v="1782"/>
    <n v="6936"/>
    <n v="3372"/>
  </r>
  <r>
    <n v="1747"/>
    <x v="320"/>
    <x v="1"/>
    <s v="Ayşe Demir"/>
    <x v="1"/>
    <x v="14"/>
    <x v="1"/>
    <n v="9"/>
    <n v="5740"/>
    <n v="2880"/>
    <n v="51660"/>
    <n v="25740"/>
  </r>
  <r>
    <n v="1748"/>
    <x v="99"/>
    <x v="0"/>
    <s v="Ahmet Yılmaz"/>
    <x v="4"/>
    <x v="15"/>
    <x v="2"/>
    <n v="2"/>
    <n v="13944"/>
    <n v="7171"/>
    <n v="27888"/>
    <n v="13546"/>
  </r>
  <r>
    <n v="1749"/>
    <x v="166"/>
    <x v="3"/>
    <s v="Emre Aydın"/>
    <x v="3"/>
    <x v="18"/>
    <x v="0"/>
    <n v="1"/>
    <n v="3838"/>
    <n v="2200"/>
    <n v="3838"/>
    <n v="1638"/>
  </r>
  <r>
    <n v="1750"/>
    <x v="309"/>
    <x v="2"/>
    <s v="Elif Kaya"/>
    <x v="4"/>
    <x v="1"/>
    <x v="1"/>
    <n v="3"/>
    <n v="7551"/>
    <n v="5199"/>
    <n v="22653"/>
    <n v="7056"/>
  </r>
  <r>
    <n v="1751"/>
    <x v="142"/>
    <x v="4"/>
    <s v="Emre Aydın"/>
    <x v="2"/>
    <x v="19"/>
    <x v="3"/>
    <n v="5"/>
    <n v="919"/>
    <n v="507"/>
    <n v="4595"/>
    <n v="2060"/>
  </r>
  <r>
    <n v="1752"/>
    <x v="77"/>
    <x v="1"/>
    <s v="Mehmet Kaya"/>
    <x v="4"/>
    <x v="6"/>
    <x v="4"/>
    <n v="7"/>
    <n v="6606"/>
    <n v="3796"/>
    <n v="46242"/>
    <n v="19670"/>
  </r>
  <r>
    <n v="1753"/>
    <x v="236"/>
    <x v="3"/>
    <s v="Ahmet Yılmaz"/>
    <x v="2"/>
    <x v="18"/>
    <x v="0"/>
    <n v="6"/>
    <n v="2456"/>
    <n v="1594"/>
    <n v="14736"/>
    <n v="5172"/>
  </r>
  <r>
    <n v="1754"/>
    <x v="72"/>
    <x v="1"/>
    <s v="Can Arslan"/>
    <x v="2"/>
    <x v="0"/>
    <x v="0"/>
    <n v="3"/>
    <n v="3980"/>
    <n v="2451"/>
    <n v="11940"/>
    <n v="4587"/>
  </r>
  <r>
    <n v="1755"/>
    <x v="237"/>
    <x v="2"/>
    <s v="Mehmet Kaya"/>
    <x v="0"/>
    <x v="12"/>
    <x v="4"/>
    <n v="5"/>
    <n v="2050"/>
    <n v="1176"/>
    <n v="10250"/>
    <n v="4370"/>
  </r>
  <r>
    <n v="1756"/>
    <x v="285"/>
    <x v="0"/>
    <s v="Can Arslan"/>
    <x v="4"/>
    <x v="7"/>
    <x v="4"/>
    <n v="7"/>
    <n v="3637"/>
    <n v="2578"/>
    <n v="25459"/>
    <n v="7413"/>
  </r>
  <r>
    <n v="1757"/>
    <x v="321"/>
    <x v="0"/>
    <s v="Burak Demir"/>
    <x v="4"/>
    <x v="9"/>
    <x v="3"/>
    <n v="10"/>
    <n v="2709"/>
    <n v="2141"/>
    <n v="27090"/>
    <n v="5680"/>
  </r>
  <r>
    <n v="1758"/>
    <x v="95"/>
    <x v="1"/>
    <s v="Elif Kaya"/>
    <x v="1"/>
    <x v="7"/>
    <x v="4"/>
    <n v="10"/>
    <n v="4125"/>
    <n v="2552"/>
    <n v="41250"/>
    <n v="15730"/>
  </r>
  <r>
    <n v="1759"/>
    <x v="175"/>
    <x v="2"/>
    <s v="Zeynep Çelik"/>
    <x v="1"/>
    <x v="0"/>
    <x v="0"/>
    <n v="8"/>
    <n v="5804"/>
    <n v="2964"/>
    <n v="46432"/>
    <n v="22720"/>
  </r>
  <r>
    <n v="1760"/>
    <x v="194"/>
    <x v="3"/>
    <s v="Burak Demir"/>
    <x v="1"/>
    <x v="17"/>
    <x v="2"/>
    <n v="7"/>
    <n v="14534"/>
    <n v="9646"/>
    <n v="101738"/>
    <n v="34216"/>
  </r>
  <r>
    <n v="1761"/>
    <x v="18"/>
    <x v="1"/>
    <s v="Seda Yıldız"/>
    <x v="4"/>
    <x v="19"/>
    <x v="3"/>
    <n v="4"/>
    <n v="2607"/>
    <n v="1805"/>
    <n v="10428"/>
    <n v="3208"/>
  </r>
  <r>
    <n v="1762"/>
    <x v="37"/>
    <x v="0"/>
    <s v="Zeynep Çelik"/>
    <x v="3"/>
    <x v="6"/>
    <x v="4"/>
    <n v="4"/>
    <n v="3534"/>
    <n v="2464"/>
    <n v="14136"/>
    <n v="4280"/>
  </r>
  <r>
    <n v="1763"/>
    <x v="315"/>
    <x v="3"/>
    <s v="Seda Yıldız"/>
    <x v="3"/>
    <x v="2"/>
    <x v="2"/>
    <n v="1"/>
    <n v="14191"/>
    <n v="8226"/>
    <n v="14191"/>
    <n v="5965"/>
  </r>
  <r>
    <n v="1764"/>
    <x v="168"/>
    <x v="2"/>
    <s v="Ayşe Demir"/>
    <x v="4"/>
    <x v="17"/>
    <x v="2"/>
    <n v="9"/>
    <n v="11312"/>
    <n v="6598"/>
    <n v="101808"/>
    <n v="42426"/>
  </r>
  <r>
    <n v="1765"/>
    <x v="232"/>
    <x v="4"/>
    <s v="Emre Aydın"/>
    <x v="4"/>
    <x v="13"/>
    <x v="0"/>
    <n v="4"/>
    <n v="3386"/>
    <n v="2303"/>
    <n v="13544"/>
    <n v="4332"/>
  </r>
  <r>
    <n v="1766"/>
    <x v="65"/>
    <x v="1"/>
    <s v="Can Arslan"/>
    <x v="2"/>
    <x v="15"/>
    <x v="2"/>
    <n v="3"/>
    <n v="17970"/>
    <n v="10677"/>
    <n v="53910"/>
    <n v="21879"/>
  </r>
  <r>
    <n v="1767"/>
    <x v="56"/>
    <x v="3"/>
    <s v="Can Arslan"/>
    <x v="3"/>
    <x v="4"/>
    <x v="1"/>
    <n v="4"/>
    <n v="4323"/>
    <n v="3238"/>
    <n v="17292"/>
    <n v="4340"/>
  </r>
  <r>
    <n v="1768"/>
    <x v="96"/>
    <x v="1"/>
    <s v="Seda Yıldız"/>
    <x v="2"/>
    <x v="1"/>
    <x v="1"/>
    <n v="8"/>
    <n v="2795"/>
    <n v="2049"/>
    <n v="22360"/>
    <n v="5968"/>
  </r>
  <r>
    <n v="1769"/>
    <x v="49"/>
    <x v="2"/>
    <s v="Elif Kaya"/>
    <x v="1"/>
    <x v="7"/>
    <x v="4"/>
    <n v="7"/>
    <n v="2263"/>
    <n v="1272"/>
    <n v="15841"/>
    <n v="6937"/>
  </r>
  <r>
    <n v="1770"/>
    <x v="322"/>
    <x v="0"/>
    <s v="Burak Demir"/>
    <x v="4"/>
    <x v="4"/>
    <x v="1"/>
    <n v="1"/>
    <n v="1009"/>
    <n v="649"/>
    <n v="1009"/>
    <n v="360"/>
  </r>
  <r>
    <n v="1771"/>
    <x v="222"/>
    <x v="0"/>
    <s v="Emre Aydın"/>
    <x v="4"/>
    <x v="6"/>
    <x v="4"/>
    <n v="9"/>
    <n v="4710"/>
    <n v="2590"/>
    <n v="42390"/>
    <n v="19080"/>
  </r>
  <r>
    <n v="1772"/>
    <x v="26"/>
    <x v="1"/>
    <s v="Burak Demir"/>
    <x v="1"/>
    <x v="5"/>
    <x v="0"/>
    <n v="2"/>
    <n v="4818"/>
    <n v="2623"/>
    <n v="9636"/>
    <n v="4390"/>
  </r>
  <r>
    <n v="1773"/>
    <x v="164"/>
    <x v="2"/>
    <s v="Ayşe Demir"/>
    <x v="4"/>
    <x v="9"/>
    <x v="3"/>
    <n v="7"/>
    <n v="958"/>
    <n v="765"/>
    <n v="6706"/>
    <n v="1351"/>
  </r>
  <r>
    <n v="1774"/>
    <x v="23"/>
    <x v="3"/>
    <s v="Zeynep Çelik"/>
    <x v="3"/>
    <x v="0"/>
    <x v="0"/>
    <n v="5"/>
    <n v="2896"/>
    <n v="1893"/>
    <n v="14480"/>
    <n v="5015"/>
  </r>
  <r>
    <n v="1775"/>
    <x v="268"/>
    <x v="1"/>
    <s v="Elif Kaya"/>
    <x v="1"/>
    <x v="4"/>
    <x v="1"/>
    <n v="5"/>
    <n v="1042"/>
    <n v="778"/>
    <n v="5210"/>
    <n v="1320"/>
  </r>
  <r>
    <n v="1776"/>
    <x v="11"/>
    <x v="0"/>
    <s v="Elif Kaya"/>
    <x v="0"/>
    <x v="5"/>
    <x v="0"/>
    <n v="9"/>
    <n v="8291"/>
    <n v="5486"/>
    <n v="74619"/>
    <n v="25245"/>
  </r>
  <r>
    <n v="1777"/>
    <x v="235"/>
    <x v="3"/>
    <s v="Seda Yıldız"/>
    <x v="4"/>
    <x v="0"/>
    <x v="0"/>
    <n v="8"/>
    <n v="5933"/>
    <n v="3610"/>
    <n v="47464"/>
    <n v="18584"/>
  </r>
  <r>
    <n v="1778"/>
    <x v="130"/>
    <x v="2"/>
    <s v="Emre Aydın"/>
    <x v="4"/>
    <x v="4"/>
    <x v="1"/>
    <n v="4"/>
    <n v="2785"/>
    <n v="1811"/>
    <n v="11140"/>
    <n v="3896"/>
  </r>
  <r>
    <n v="1779"/>
    <x v="323"/>
    <x v="4"/>
    <s v="Emre Aydın"/>
    <x v="0"/>
    <x v="9"/>
    <x v="3"/>
    <n v="4"/>
    <n v="1376"/>
    <n v="1010"/>
    <n v="5504"/>
    <n v="1464"/>
  </r>
  <r>
    <n v="1780"/>
    <x v="145"/>
    <x v="1"/>
    <s v="Ayşe Demir"/>
    <x v="1"/>
    <x v="7"/>
    <x v="4"/>
    <n v="6"/>
    <n v="4288"/>
    <n v="3185"/>
    <n v="25728"/>
    <n v="6618"/>
  </r>
  <r>
    <n v="1781"/>
    <x v="324"/>
    <x v="3"/>
    <s v="Ayşe Demir"/>
    <x v="2"/>
    <x v="6"/>
    <x v="4"/>
    <n v="4"/>
    <n v="5818"/>
    <n v="4532"/>
    <n v="23272"/>
    <n v="5144"/>
  </r>
  <r>
    <n v="1782"/>
    <x v="143"/>
    <x v="1"/>
    <s v="Ahmet Yılmaz"/>
    <x v="2"/>
    <x v="16"/>
    <x v="4"/>
    <n v="3"/>
    <n v="6437"/>
    <n v="4926"/>
    <n v="19311"/>
    <n v="4533"/>
  </r>
  <r>
    <n v="1783"/>
    <x v="71"/>
    <x v="2"/>
    <s v="Seda Yıldız"/>
    <x v="3"/>
    <x v="15"/>
    <x v="2"/>
    <n v="5"/>
    <n v="8405"/>
    <n v="5471"/>
    <n v="42025"/>
    <n v="14670"/>
  </r>
  <r>
    <n v="1784"/>
    <x v="311"/>
    <x v="0"/>
    <s v="Burak Demir"/>
    <x v="0"/>
    <x v="4"/>
    <x v="1"/>
    <n v="4"/>
    <n v="2672"/>
    <n v="1366"/>
    <n v="10688"/>
    <n v="5224"/>
  </r>
  <r>
    <n v="1785"/>
    <x v="88"/>
    <x v="0"/>
    <s v="Elif Kaya"/>
    <x v="4"/>
    <x v="13"/>
    <x v="0"/>
    <n v="7"/>
    <n v="5301"/>
    <n v="3034"/>
    <n v="37107"/>
    <n v="15869"/>
  </r>
  <r>
    <n v="1786"/>
    <x v="325"/>
    <x v="1"/>
    <s v="Zeynep Çelik"/>
    <x v="4"/>
    <x v="18"/>
    <x v="0"/>
    <n v="3"/>
    <n v="2506"/>
    <n v="1713"/>
    <n v="7518"/>
    <n v="2379"/>
  </r>
  <r>
    <n v="1787"/>
    <x v="110"/>
    <x v="2"/>
    <s v="Zeynep Çelik"/>
    <x v="2"/>
    <x v="12"/>
    <x v="4"/>
    <n v="8"/>
    <n v="6967"/>
    <n v="4498"/>
    <n v="55736"/>
    <n v="19752"/>
  </r>
  <r>
    <n v="1788"/>
    <x v="314"/>
    <x v="3"/>
    <s v="Ahmet Yılmaz"/>
    <x v="1"/>
    <x v="8"/>
    <x v="3"/>
    <n v="4"/>
    <n v="1616"/>
    <n v="891"/>
    <n v="6464"/>
    <n v="2900"/>
  </r>
  <r>
    <n v="1789"/>
    <x v="164"/>
    <x v="1"/>
    <s v="Zeynep Çelik"/>
    <x v="3"/>
    <x v="9"/>
    <x v="3"/>
    <n v="7"/>
    <n v="3901"/>
    <n v="2982"/>
    <n v="27307"/>
    <n v="6433"/>
  </r>
  <r>
    <n v="1790"/>
    <x v="326"/>
    <x v="0"/>
    <s v="Elif Kaya"/>
    <x v="2"/>
    <x v="16"/>
    <x v="4"/>
    <n v="7"/>
    <n v="1348"/>
    <n v="961"/>
    <n v="9436"/>
    <n v="2709"/>
  </r>
  <r>
    <n v="1791"/>
    <x v="217"/>
    <x v="3"/>
    <s v="Mehmet Kaya"/>
    <x v="3"/>
    <x v="16"/>
    <x v="4"/>
    <n v="1"/>
    <n v="1161"/>
    <n v="707"/>
    <n v="1161"/>
    <n v="454"/>
  </r>
  <r>
    <n v="1792"/>
    <x v="246"/>
    <x v="2"/>
    <s v="Ahmet Yılmaz"/>
    <x v="3"/>
    <x v="15"/>
    <x v="2"/>
    <n v="1"/>
    <n v="24432"/>
    <n v="12921"/>
    <n v="24432"/>
    <n v="11511"/>
  </r>
  <r>
    <n v="1793"/>
    <x v="62"/>
    <x v="4"/>
    <s v="Elif Kaya"/>
    <x v="3"/>
    <x v="10"/>
    <x v="1"/>
    <n v="10"/>
    <n v="3457"/>
    <n v="2548"/>
    <n v="34570"/>
    <n v="9090"/>
  </r>
  <r>
    <n v="1794"/>
    <x v="243"/>
    <x v="1"/>
    <s v="Ayşe Demir"/>
    <x v="4"/>
    <x v="4"/>
    <x v="1"/>
    <n v="4"/>
    <n v="3568"/>
    <n v="2452"/>
    <n v="14272"/>
    <n v="4464"/>
  </r>
  <r>
    <n v="1795"/>
    <x v="172"/>
    <x v="3"/>
    <s v="Ahmet Yılmaz"/>
    <x v="3"/>
    <x v="3"/>
    <x v="3"/>
    <n v="7"/>
    <n v="1425"/>
    <n v="921"/>
    <n v="9975"/>
    <n v="3528"/>
  </r>
  <r>
    <n v="1796"/>
    <x v="123"/>
    <x v="1"/>
    <s v="Emre Aydın"/>
    <x v="2"/>
    <x v="5"/>
    <x v="0"/>
    <n v="2"/>
    <n v="5770"/>
    <n v="3475"/>
    <n v="11540"/>
    <n v="4590"/>
  </r>
  <r>
    <n v="1797"/>
    <x v="186"/>
    <x v="2"/>
    <s v="Elif Kaya"/>
    <x v="2"/>
    <x v="17"/>
    <x v="2"/>
    <n v="9"/>
    <n v="16827"/>
    <n v="11816"/>
    <n v="151443"/>
    <n v="45099"/>
  </r>
  <r>
    <n v="1798"/>
    <x v="76"/>
    <x v="0"/>
    <s v="Emre Aydın"/>
    <x v="1"/>
    <x v="13"/>
    <x v="0"/>
    <n v="6"/>
    <n v="4252"/>
    <n v="3229"/>
    <n v="25512"/>
    <n v="6138"/>
  </r>
  <r>
    <n v="1799"/>
    <x v="114"/>
    <x v="0"/>
    <s v="Zeynep Çelik"/>
    <x v="2"/>
    <x v="12"/>
    <x v="4"/>
    <n v="8"/>
    <n v="1614"/>
    <n v="813"/>
    <n v="12912"/>
    <n v="6408"/>
  </r>
  <r>
    <n v="1800"/>
    <x v="327"/>
    <x v="1"/>
    <s v="Ahmet Yılmaz"/>
    <x v="0"/>
    <x v="14"/>
    <x v="1"/>
    <n v="1"/>
    <n v="1900"/>
    <n v="979"/>
    <n v="1900"/>
    <n v="921"/>
  </r>
  <r>
    <n v="1801"/>
    <x v="328"/>
    <x v="2"/>
    <s v="Mehmet Kaya"/>
    <x v="3"/>
    <x v="17"/>
    <x v="2"/>
    <n v="4"/>
    <n v="14647"/>
    <n v="8479"/>
    <n v="58588"/>
    <n v="24672"/>
  </r>
  <r>
    <n v="1802"/>
    <x v="329"/>
    <x v="3"/>
    <s v="Ahmet Yılmaz"/>
    <x v="2"/>
    <x v="9"/>
    <x v="3"/>
    <n v="1"/>
    <n v="3483"/>
    <n v="1966"/>
    <n v="3483"/>
    <n v="1517"/>
  </r>
  <r>
    <n v="1803"/>
    <x v="53"/>
    <x v="1"/>
    <s v="Elif Kaya"/>
    <x v="2"/>
    <x v="6"/>
    <x v="4"/>
    <n v="4"/>
    <n v="3192"/>
    <n v="1702"/>
    <n v="12768"/>
    <n v="5960"/>
  </r>
  <r>
    <n v="1804"/>
    <x v="1"/>
    <x v="0"/>
    <s v="Ahmet Yılmaz"/>
    <x v="0"/>
    <x v="6"/>
    <x v="4"/>
    <n v="1"/>
    <n v="6662"/>
    <n v="3491"/>
    <n v="6662"/>
    <n v="3171"/>
  </r>
  <r>
    <n v="1805"/>
    <x v="98"/>
    <x v="3"/>
    <s v="Ahmet Yılmaz"/>
    <x v="1"/>
    <x v="14"/>
    <x v="1"/>
    <n v="1"/>
    <n v="5097"/>
    <n v="3046"/>
    <n v="5097"/>
    <n v="2051"/>
  </r>
  <r>
    <n v="1806"/>
    <x v="183"/>
    <x v="2"/>
    <s v="Can Arslan"/>
    <x v="0"/>
    <x v="19"/>
    <x v="3"/>
    <n v="6"/>
    <n v="1846"/>
    <n v="1333"/>
    <n v="11076"/>
    <n v="3078"/>
  </r>
  <r>
    <n v="1807"/>
    <x v="328"/>
    <x v="4"/>
    <s v="Emre Aydın"/>
    <x v="0"/>
    <x v="8"/>
    <x v="3"/>
    <n v="7"/>
    <n v="3743"/>
    <n v="2062"/>
    <n v="26201"/>
    <n v="11767"/>
  </r>
  <r>
    <n v="1808"/>
    <x v="69"/>
    <x v="1"/>
    <s v="Ayşe Demir"/>
    <x v="4"/>
    <x v="19"/>
    <x v="3"/>
    <n v="7"/>
    <n v="1560"/>
    <n v="796"/>
    <n v="10920"/>
    <n v="5348"/>
  </r>
  <r>
    <n v="1809"/>
    <x v="67"/>
    <x v="3"/>
    <s v="Can Arslan"/>
    <x v="1"/>
    <x v="16"/>
    <x v="4"/>
    <n v="6"/>
    <n v="6527"/>
    <n v="4502"/>
    <n v="39162"/>
    <n v="12150"/>
  </r>
  <r>
    <n v="1810"/>
    <x v="330"/>
    <x v="1"/>
    <s v="Mehmet Kaya"/>
    <x v="2"/>
    <x v="19"/>
    <x v="3"/>
    <n v="1"/>
    <n v="1957"/>
    <n v="1374"/>
    <n v="1957"/>
    <n v="583"/>
  </r>
  <r>
    <n v="1811"/>
    <x v="86"/>
    <x v="2"/>
    <s v="Emre Aydın"/>
    <x v="2"/>
    <x v="19"/>
    <x v="3"/>
    <n v="3"/>
    <n v="2594"/>
    <n v="1373"/>
    <n v="7782"/>
    <n v="3663"/>
  </r>
  <r>
    <n v="1812"/>
    <x v="224"/>
    <x v="0"/>
    <s v="Emre Aydın"/>
    <x v="1"/>
    <x v="17"/>
    <x v="2"/>
    <n v="4"/>
    <n v="23940"/>
    <n v="14453"/>
    <n v="95760"/>
    <n v="37948"/>
  </r>
  <r>
    <n v="1813"/>
    <x v="167"/>
    <x v="0"/>
    <s v="Burak Demir"/>
    <x v="2"/>
    <x v="3"/>
    <x v="3"/>
    <n v="8"/>
    <n v="1012"/>
    <n v="777"/>
    <n v="8096"/>
    <n v="1880"/>
  </r>
  <r>
    <n v="1814"/>
    <x v="86"/>
    <x v="1"/>
    <s v="Can Arslan"/>
    <x v="2"/>
    <x v="10"/>
    <x v="1"/>
    <n v="1"/>
    <n v="2798"/>
    <n v="1650"/>
    <n v="2798"/>
    <n v="1148"/>
  </r>
  <r>
    <n v="1815"/>
    <x v="106"/>
    <x v="2"/>
    <s v="Zeynep Çelik"/>
    <x v="2"/>
    <x v="8"/>
    <x v="3"/>
    <n v="5"/>
    <n v="654"/>
    <n v="373"/>
    <n v="3270"/>
    <n v="1405"/>
  </r>
  <r>
    <n v="1816"/>
    <x v="287"/>
    <x v="3"/>
    <s v="Elif Kaya"/>
    <x v="1"/>
    <x v="19"/>
    <x v="3"/>
    <n v="3"/>
    <n v="2753"/>
    <n v="1944"/>
    <n v="8259"/>
    <n v="2427"/>
  </r>
  <r>
    <n v="1817"/>
    <x v="67"/>
    <x v="1"/>
    <s v="Emre Aydın"/>
    <x v="3"/>
    <x v="15"/>
    <x v="2"/>
    <n v="8"/>
    <n v="17379"/>
    <n v="13186"/>
    <n v="139032"/>
    <n v="33544"/>
  </r>
  <r>
    <n v="1818"/>
    <x v="191"/>
    <x v="0"/>
    <s v="Elif Kaya"/>
    <x v="2"/>
    <x v="6"/>
    <x v="4"/>
    <n v="1"/>
    <n v="2053"/>
    <n v="1152"/>
    <n v="2053"/>
    <n v="901"/>
  </r>
  <r>
    <n v="1819"/>
    <x v="121"/>
    <x v="3"/>
    <s v="Seda Yıldız"/>
    <x v="0"/>
    <x v="18"/>
    <x v="0"/>
    <n v="6"/>
    <n v="2063"/>
    <n v="1053"/>
    <n v="12378"/>
    <n v="6060"/>
  </r>
  <r>
    <n v="1820"/>
    <x v="69"/>
    <x v="2"/>
    <s v="Zeynep Çelik"/>
    <x v="2"/>
    <x v="2"/>
    <x v="2"/>
    <n v="6"/>
    <n v="19335"/>
    <n v="9864"/>
    <n v="116010"/>
    <n v="56826"/>
  </r>
  <r>
    <n v="1821"/>
    <x v="292"/>
    <x v="4"/>
    <s v="Elif Kaya"/>
    <x v="3"/>
    <x v="13"/>
    <x v="0"/>
    <n v="5"/>
    <n v="8083"/>
    <n v="5568"/>
    <n v="40415"/>
    <n v="12575"/>
  </r>
  <r>
    <n v="1822"/>
    <x v="301"/>
    <x v="1"/>
    <s v="Merve Şahin"/>
    <x v="4"/>
    <x v="13"/>
    <x v="0"/>
    <n v="6"/>
    <n v="10749"/>
    <n v="7183"/>
    <n v="64494"/>
    <n v="21396"/>
  </r>
  <r>
    <n v="1823"/>
    <x v="7"/>
    <x v="3"/>
    <s v="Zeynep Çelik"/>
    <x v="3"/>
    <x v="19"/>
    <x v="3"/>
    <n v="10"/>
    <n v="684"/>
    <n v="431"/>
    <n v="6840"/>
    <n v="2530"/>
  </r>
  <r>
    <n v="1824"/>
    <x v="271"/>
    <x v="1"/>
    <s v="Can Arslan"/>
    <x v="1"/>
    <x v="14"/>
    <x v="1"/>
    <n v="10"/>
    <n v="3925"/>
    <n v="2463"/>
    <n v="39250"/>
    <n v="14620"/>
  </r>
  <r>
    <n v="1825"/>
    <x v="331"/>
    <x v="2"/>
    <s v="Zeynep Çelik"/>
    <x v="1"/>
    <x v="5"/>
    <x v="0"/>
    <n v="6"/>
    <n v="2430"/>
    <n v="1763"/>
    <n v="14580"/>
    <n v="4002"/>
  </r>
  <r>
    <n v="1826"/>
    <x v="77"/>
    <x v="0"/>
    <s v="Can Arslan"/>
    <x v="4"/>
    <x v="0"/>
    <x v="0"/>
    <n v="7"/>
    <n v="9685"/>
    <n v="7659"/>
    <n v="67795"/>
    <n v="14182"/>
  </r>
  <r>
    <n v="1827"/>
    <x v="296"/>
    <x v="0"/>
    <s v="Ahmet Yılmaz"/>
    <x v="4"/>
    <x v="14"/>
    <x v="1"/>
    <n v="8"/>
    <n v="3773"/>
    <n v="2338"/>
    <n v="30184"/>
    <n v="11480"/>
  </r>
  <r>
    <n v="1828"/>
    <x v="332"/>
    <x v="1"/>
    <s v="Ayşe Demir"/>
    <x v="1"/>
    <x v="2"/>
    <x v="2"/>
    <n v="2"/>
    <n v="13711"/>
    <n v="9080"/>
    <n v="27422"/>
    <n v="9262"/>
  </r>
  <r>
    <n v="1829"/>
    <x v="188"/>
    <x v="2"/>
    <s v="Burak Demir"/>
    <x v="1"/>
    <x v="5"/>
    <x v="0"/>
    <n v="9"/>
    <n v="2507"/>
    <n v="1745"/>
    <n v="22563"/>
    <n v="6858"/>
  </r>
  <r>
    <n v="1830"/>
    <x v="21"/>
    <x v="3"/>
    <s v="Can Arslan"/>
    <x v="4"/>
    <x v="8"/>
    <x v="3"/>
    <n v="3"/>
    <n v="2522"/>
    <n v="1779"/>
    <n v="7566"/>
    <n v="2229"/>
  </r>
  <r>
    <n v="1831"/>
    <x v="148"/>
    <x v="1"/>
    <s v="Ahmet Yılmaz"/>
    <x v="2"/>
    <x v="7"/>
    <x v="4"/>
    <n v="3"/>
    <n v="5281"/>
    <n v="3640"/>
    <n v="15843"/>
    <n v="4923"/>
  </r>
  <r>
    <n v="1832"/>
    <x v="26"/>
    <x v="0"/>
    <s v="Ahmet Yılmaz"/>
    <x v="0"/>
    <x v="12"/>
    <x v="4"/>
    <n v="4"/>
    <n v="1958"/>
    <n v="1108"/>
    <n v="7832"/>
    <n v="3400"/>
  </r>
  <r>
    <n v="1833"/>
    <x v="77"/>
    <x v="3"/>
    <s v="Can Arslan"/>
    <x v="1"/>
    <x v="3"/>
    <x v="3"/>
    <n v="7"/>
    <n v="2833"/>
    <n v="2195"/>
    <n v="19831"/>
    <n v="4466"/>
  </r>
  <r>
    <n v="1834"/>
    <x v="244"/>
    <x v="2"/>
    <s v="Mehmet Kaya"/>
    <x v="2"/>
    <x v="19"/>
    <x v="3"/>
    <n v="6"/>
    <n v="3204"/>
    <n v="2450"/>
    <n v="19224"/>
    <n v="4524"/>
  </r>
  <r>
    <n v="1835"/>
    <x v="175"/>
    <x v="4"/>
    <s v="Burak Demir"/>
    <x v="2"/>
    <x v="19"/>
    <x v="3"/>
    <n v="7"/>
    <n v="2043"/>
    <n v="1200"/>
    <n v="14301"/>
    <n v="5901"/>
  </r>
  <r>
    <n v="1836"/>
    <x v="35"/>
    <x v="1"/>
    <s v="Can Arslan"/>
    <x v="0"/>
    <x v="9"/>
    <x v="3"/>
    <n v="8"/>
    <n v="597"/>
    <n v="404"/>
    <n v="4776"/>
    <n v="1544"/>
  </r>
  <r>
    <n v="1837"/>
    <x v="92"/>
    <x v="3"/>
    <s v="Merve Şahin"/>
    <x v="3"/>
    <x v="19"/>
    <x v="3"/>
    <n v="7"/>
    <n v="3794"/>
    <n v="3007"/>
    <n v="26558"/>
    <n v="5509"/>
  </r>
  <r>
    <n v="1838"/>
    <x v="166"/>
    <x v="1"/>
    <s v="Seda Yıldız"/>
    <x v="3"/>
    <x v="10"/>
    <x v="1"/>
    <n v="4"/>
    <n v="4678"/>
    <n v="2671"/>
    <n v="18712"/>
    <n v="8028"/>
  </r>
  <r>
    <n v="1839"/>
    <x v="193"/>
    <x v="2"/>
    <s v="Can Arslan"/>
    <x v="4"/>
    <x v="5"/>
    <x v="0"/>
    <n v="3"/>
    <n v="10661"/>
    <n v="7755"/>
    <n v="31983"/>
    <n v="8718"/>
  </r>
  <r>
    <n v="1840"/>
    <x v="196"/>
    <x v="0"/>
    <s v="Seda Yıldız"/>
    <x v="2"/>
    <x v="11"/>
    <x v="2"/>
    <n v="2"/>
    <n v="22406"/>
    <n v="14888"/>
    <n v="44812"/>
    <n v="15036"/>
  </r>
  <r>
    <n v="1841"/>
    <x v="62"/>
    <x v="0"/>
    <s v="Elif Kaya"/>
    <x v="0"/>
    <x v="14"/>
    <x v="1"/>
    <n v="4"/>
    <n v="6161"/>
    <n v="3267"/>
    <n v="24644"/>
    <n v="11576"/>
  </r>
  <r>
    <n v="1842"/>
    <x v="210"/>
    <x v="1"/>
    <s v="Merve Şahin"/>
    <x v="1"/>
    <x v="5"/>
    <x v="0"/>
    <n v="3"/>
    <n v="5188"/>
    <n v="3840"/>
    <n v="15564"/>
    <n v="4044"/>
  </r>
  <r>
    <n v="1843"/>
    <x v="236"/>
    <x v="2"/>
    <s v="Can Arslan"/>
    <x v="0"/>
    <x v="0"/>
    <x v="0"/>
    <n v="10"/>
    <n v="7298"/>
    <n v="3893"/>
    <n v="72980"/>
    <n v="34050"/>
  </r>
  <r>
    <n v="1844"/>
    <x v="133"/>
    <x v="3"/>
    <s v="Emre Aydın"/>
    <x v="0"/>
    <x v="0"/>
    <x v="0"/>
    <n v="5"/>
    <n v="1790"/>
    <n v="1143"/>
    <n v="8950"/>
    <n v="3235"/>
  </r>
  <r>
    <n v="1845"/>
    <x v="307"/>
    <x v="1"/>
    <s v="Elif Kaya"/>
    <x v="4"/>
    <x v="3"/>
    <x v="3"/>
    <n v="9"/>
    <n v="3251"/>
    <n v="2138"/>
    <n v="29259"/>
    <n v="10017"/>
  </r>
  <r>
    <n v="1846"/>
    <x v="73"/>
    <x v="0"/>
    <s v="Emre Aydın"/>
    <x v="4"/>
    <x v="17"/>
    <x v="2"/>
    <n v="10"/>
    <n v="12305"/>
    <n v="6171"/>
    <n v="123050"/>
    <n v="61340"/>
  </r>
  <r>
    <n v="1847"/>
    <x v="107"/>
    <x v="3"/>
    <s v="Emre Aydın"/>
    <x v="3"/>
    <x v="6"/>
    <x v="4"/>
    <n v="10"/>
    <n v="2558"/>
    <n v="1530"/>
    <n v="25580"/>
    <n v="10280"/>
  </r>
  <r>
    <n v="1848"/>
    <x v="306"/>
    <x v="2"/>
    <s v="Emre Aydın"/>
    <x v="2"/>
    <x v="12"/>
    <x v="4"/>
    <n v="2"/>
    <n v="2463"/>
    <n v="1726"/>
    <n v="4926"/>
    <n v="1474"/>
  </r>
  <r>
    <n v="1849"/>
    <x v="333"/>
    <x v="4"/>
    <s v="Ahmet Yılmaz"/>
    <x v="1"/>
    <x v="17"/>
    <x v="2"/>
    <n v="8"/>
    <n v="16236"/>
    <n v="9908"/>
    <n v="129888"/>
    <n v="50624"/>
  </r>
  <r>
    <n v="1850"/>
    <x v="163"/>
    <x v="1"/>
    <s v="Emre Aydın"/>
    <x v="1"/>
    <x v="8"/>
    <x v="3"/>
    <n v="10"/>
    <n v="3993"/>
    <n v="2299"/>
    <n v="39930"/>
    <n v="16940"/>
  </r>
  <r>
    <n v="1851"/>
    <x v="229"/>
    <x v="3"/>
    <s v="Burak Demir"/>
    <x v="2"/>
    <x v="8"/>
    <x v="3"/>
    <n v="1"/>
    <n v="1240"/>
    <n v="904"/>
    <n v="1240"/>
    <n v="336"/>
  </r>
  <r>
    <n v="1852"/>
    <x v="82"/>
    <x v="1"/>
    <s v="Ahmet Yılmaz"/>
    <x v="3"/>
    <x v="11"/>
    <x v="2"/>
    <n v="7"/>
    <n v="19306"/>
    <n v="14257"/>
    <n v="135142"/>
    <n v="35343"/>
  </r>
  <r>
    <n v="1853"/>
    <x v="273"/>
    <x v="2"/>
    <s v="Can Arslan"/>
    <x v="0"/>
    <x v="13"/>
    <x v="0"/>
    <n v="5"/>
    <n v="2581"/>
    <n v="2007"/>
    <n v="12905"/>
    <n v="2870"/>
  </r>
  <r>
    <n v="1854"/>
    <x v="48"/>
    <x v="0"/>
    <s v="Burak Demir"/>
    <x v="3"/>
    <x v="13"/>
    <x v="0"/>
    <n v="2"/>
    <n v="2072"/>
    <n v="1608"/>
    <n v="4144"/>
    <n v="928"/>
  </r>
  <r>
    <n v="1855"/>
    <x v="319"/>
    <x v="0"/>
    <s v="Can Arslan"/>
    <x v="3"/>
    <x v="4"/>
    <x v="1"/>
    <n v="4"/>
    <n v="3184"/>
    <n v="2103"/>
    <n v="12736"/>
    <n v="4324"/>
  </r>
  <r>
    <n v="1856"/>
    <x v="20"/>
    <x v="1"/>
    <s v="Emre Aydın"/>
    <x v="4"/>
    <x v="2"/>
    <x v="2"/>
    <n v="5"/>
    <n v="10392"/>
    <n v="8079"/>
    <n v="51960"/>
    <n v="11565"/>
  </r>
  <r>
    <n v="1857"/>
    <x v="105"/>
    <x v="2"/>
    <s v="Burak Demir"/>
    <x v="3"/>
    <x v="16"/>
    <x v="4"/>
    <n v="4"/>
    <n v="6319"/>
    <n v="3600"/>
    <n v="25276"/>
    <n v="10876"/>
  </r>
  <r>
    <n v="1858"/>
    <x v="315"/>
    <x v="3"/>
    <s v="Merve Şahin"/>
    <x v="4"/>
    <x v="12"/>
    <x v="4"/>
    <n v="4"/>
    <n v="2700"/>
    <n v="1648"/>
    <n v="10800"/>
    <n v="4208"/>
  </r>
  <r>
    <n v="1859"/>
    <x v="312"/>
    <x v="1"/>
    <s v="Mehmet Kaya"/>
    <x v="3"/>
    <x v="17"/>
    <x v="2"/>
    <n v="9"/>
    <n v="23496"/>
    <n v="12918"/>
    <n v="211464"/>
    <n v="95202"/>
  </r>
  <r>
    <n v="1860"/>
    <x v="160"/>
    <x v="0"/>
    <s v="Mehmet Kaya"/>
    <x v="3"/>
    <x v="12"/>
    <x v="4"/>
    <n v="2"/>
    <n v="835"/>
    <n v="473"/>
    <n v="1670"/>
    <n v="724"/>
  </r>
  <r>
    <n v="1861"/>
    <x v="145"/>
    <x v="3"/>
    <s v="Can Arslan"/>
    <x v="2"/>
    <x v="7"/>
    <x v="4"/>
    <n v="8"/>
    <n v="2638"/>
    <n v="2092"/>
    <n v="21104"/>
    <n v="4368"/>
  </r>
  <r>
    <n v="1862"/>
    <x v="190"/>
    <x v="2"/>
    <s v="Merve Şahin"/>
    <x v="0"/>
    <x v="11"/>
    <x v="2"/>
    <n v="5"/>
    <n v="21139"/>
    <n v="14954"/>
    <n v="105695"/>
    <n v="30925"/>
  </r>
  <r>
    <n v="1863"/>
    <x v="93"/>
    <x v="4"/>
    <s v="Emre Aydın"/>
    <x v="2"/>
    <x v="13"/>
    <x v="0"/>
    <n v="8"/>
    <n v="9573"/>
    <n v="7125"/>
    <n v="76584"/>
    <n v="19584"/>
  </r>
  <r>
    <n v="1864"/>
    <x v="168"/>
    <x v="1"/>
    <s v="Burak Demir"/>
    <x v="4"/>
    <x v="19"/>
    <x v="3"/>
    <n v="1"/>
    <n v="715"/>
    <n v="409"/>
    <n v="715"/>
    <n v="306"/>
  </r>
  <r>
    <n v="1865"/>
    <x v="4"/>
    <x v="3"/>
    <s v="Seda Yıldız"/>
    <x v="0"/>
    <x v="19"/>
    <x v="3"/>
    <n v="8"/>
    <n v="2471"/>
    <n v="1336"/>
    <n v="19768"/>
    <n v="9080"/>
  </r>
  <r>
    <n v="1866"/>
    <x v="275"/>
    <x v="1"/>
    <s v="Emre Aydın"/>
    <x v="2"/>
    <x v="11"/>
    <x v="2"/>
    <n v="8"/>
    <n v="24896"/>
    <n v="19781"/>
    <n v="199168"/>
    <n v="40920"/>
  </r>
  <r>
    <n v="1867"/>
    <x v="305"/>
    <x v="2"/>
    <s v="Merve Şahin"/>
    <x v="3"/>
    <x v="12"/>
    <x v="4"/>
    <n v="2"/>
    <n v="3431"/>
    <n v="2250"/>
    <n v="6862"/>
    <n v="2362"/>
  </r>
  <r>
    <n v="1868"/>
    <x v="334"/>
    <x v="0"/>
    <s v="Emre Aydın"/>
    <x v="1"/>
    <x v="9"/>
    <x v="3"/>
    <n v="5"/>
    <n v="3342"/>
    <n v="1841"/>
    <n v="16710"/>
    <n v="7505"/>
  </r>
  <r>
    <n v="1869"/>
    <x v="250"/>
    <x v="0"/>
    <s v="Zeynep Çelik"/>
    <x v="4"/>
    <x v="16"/>
    <x v="4"/>
    <n v="7"/>
    <n v="3658"/>
    <n v="2884"/>
    <n v="25606"/>
    <n v="5418"/>
  </r>
  <r>
    <n v="1870"/>
    <x v="117"/>
    <x v="1"/>
    <s v="Zeynep Çelik"/>
    <x v="2"/>
    <x v="10"/>
    <x v="1"/>
    <n v="3"/>
    <n v="5354"/>
    <n v="3391"/>
    <n v="16062"/>
    <n v="5889"/>
  </r>
  <r>
    <n v="1871"/>
    <x v="58"/>
    <x v="2"/>
    <s v="Emre Aydın"/>
    <x v="4"/>
    <x v="18"/>
    <x v="0"/>
    <n v="2"/>
    <n v="11404"/>
    <n v="6498"/>
    <n v="22808"/>
    <n v="9812"/>
  </r>
  <r>
    <n v="1872"/>
    <x v="260"/>
    <x v="3"/>
    <s v="Ahmet Yılmaz"/>
    <x v="2"/>
    <x v="12"/>
    <x v="4"/>
    <n v="10"/>
    <n v="6408"/>
    <n v="4476"/>
    <n v="64080"/>
    <n v="19320"/>
  </r>
  <r>
    <n v="1873"/>
    <x v="19"/>
    <x v="1"/>
    <s v="Burak Demir"/>
    <x v="3"/>
    <x v="10"/>
    <x v="1"/>
    <n v="2"/>
    <n v="6628"/>
    <n v="3855"/>
    <n v="13256"/>
    <n v="5546"/>
  </r>
  <r>
    <n v="1874"/>
    <x v="62"/>
    <x v="0"/>
    <s v="Emre Aydın"/>
    <x v="0"/>
    <x v="14"/>
    <x v="1"/>
    <n v="1"/>
    <n v="4944"/>
    <n v="3752"/>
    <n v="4944"/>
    <n v="1192"/>
  </r>
  <r>
    <n v="1875"/>
    <x v="282"/>
    <x v="3"/>
    <s v="Ayşe Demir"/>
    <x v="1"/>
    <x v="2"/>
    <x v="2"/>
    <n v="7"/>
    <n v="21690"/>
    <n v="16990"/>
    <n v="151830"/>
    <n v="32900"/>
  </r>
  <r>
    <n v="1876"/>
    <x v="179"/>
    <x v="2"/>
    <s v="Mehmet Kaya"/>
    <x v="1"/>
    <x v="12"/>
    <x v="4"/>
    <n v="5"/>
    <n v="1875"/>
    <n v="1113"/>
    <n v="9375"/>
    <n v="3810"/>
  </r>
  <r>
    <n v="1877"/>
    <x v="143"/>
    <x v="4"/>
    <s v="Seda Yıldız"/>
    <x v="0"/>
    <x v="15"/>
    <x v="2"/>
    <n v="10"/>
    <n v="10726"/>
    <n v="7411"/>
    <n v="107260"/>
    <n v="33150"/>
  </r>
  <r>
    <n v="1878"/>
    <x v="23"/>
    <x v="1"/>
    <s v="Ahmet Yılmaz"/>
    <x v="0"/>
    <x v="4"/>
    <x v="1"/>
    <n v="9"/>
    <n v="5069"/>
    <n v="3423"/>
    <n v="45621"/>
    <n v="14814"/>
  </r>
  <r>
    <n v="1879"/>
    <x v="314"/>
    <x v="3"/>
    <s v="Ayşe Demir"/>
    <x v="2"/>
    <x v="11"/>
    <x v="2"/>
    <n v="1"/>
    <n v="16564"/>
    <n v="12197"/>
    <n v="16564"/>
    <n v="4367"/>
  </r>
  <r>
    <n v="1880"/>
    <x v="29"/>
    <x v="1"/>
    <s v="Elif Kaya"/>
    <x v="2"/>
    <x v="16"/>
    <x v="4"/>
    <n v="3"/>
    <n v="2659"/>
    <n v="1976"/>
    <n v="7977"/>
    <n v="2049"/>
  </r>
  <r>
    <n v="1881"/>
    <x v="335"/>
    <x v="2"/>
    <s v="Burak Demir"/>
    <x v="0"/>
    <x v="17"/>
    <x v="2"/>
    <n v="5"/>
    <n v="23386"/>
    <n v="17502"/>
    <n v="116930"/>
    <n v="29420"/>
  </r>
  <r>
    <n v="1882"/>
    <x v="110"/>
    <x v="0"/>
    <s v="Burak Demir"/>
    <x v="0"/>
    <x v="9"/>
    <x v="3"/>
    <n v="10"/>
    <n v="2597"/>
    <n v="1733"/>
    <n v="25970"/>
    <n v="8640"/>
  </r>
  <r>
    <n v="1883"/>
    <x v="336"/>
    <x v="0"/>
    <s v="Ahmet Yılmaz"/>
    <x v="0"/>
    <x v="7"/>
    <x v="4"/>
    <n v="5"/>
    <n v="4716"/>
    <n v="2437"/>
    <n v="23580"/>
    <n v="11395"/>
  </r>
  <r>
    <n v="1884"/>
    <x v="181"/>
    <x v="1"/>
    <s v="Emre Aydın"/>
    <x v="2"/>
    <x v="3"/>
    <x v="3"/>
    <n v="5"/>
    <n v="1533"/>
    <n v="1135"/>
    <n v="7665"/>
    <n v="1990"/>
  </r>
  <r>
    <n v="1885"/>
    <x v="10"/>
    <x v="2"/>
    <s v="Mehmet Kaya"/>
    <x v="3"/>
    <x v="5"/>
    <x v="0"/>
    <n v="4"/>
    <n v="5807"/>
    <n v="4043"/>
    <n v="23228"/>
    <n v="7056"/>
  </r>
  <r>
    <n v="1886"/>
    <x v="47"/>
    <x v="3"/>
    <s v="Burak Demir"/>
    <x v="3"/>
    <x v="5"/>
    <x v="0"/>
    <n v="10"/>
    <n v="8723"/>
    <n v="5688"/>
    <n v="87230"/>
    <n v="30350"/>
  </r>
  <r>
    <n v="1887"/>
    <x v="257"/>
    <x v="1"/>
    <s v="Ayşe Demir"/>
    <x v="3"/>
    <x v="4"/>
    <x v="1"/>
    <n v="10"/>
    <n v="5925"/>
    <n v="3078"/>
    <n v="59250"/>
    <n v="28470"/>
  </r>
  <r>
    <n v="1888"/>
    <x v="5"/>
    <x v="0"/>
    <s v="Elif Kaya"/>
    <x v="4"/>
    <x v="9"/>
    <x v="3"/>
    <n v="2"/>
    <n v="1605"/>
    <n v="945"/>
    <n v="3210"/>
    <n v="1320"/>
  </r>
  <r>
    <n v="1889"/>
    <x v="291"/>
    <x v="3"/>
    <s v="Merve Şahin"/>
    <x v="4"/>
    <x v="1"/>
    <x v="1"/>
    <n v="2"/>
    <n v="7133"/>
    <n v="5703"/>
    <n v="14266"/>
    <n v="2860"/>
  </r>
  <r>
    <n v="1890"/>
    <x v="146"/>
    <x v="2"/>
    <s v="Zeynep Çelik"/>
    <x v="4"/>
    <x v="7"/>
    <x v="4"/>
    <n v="5"/>
    <n v="1451"/>
    <n v="1084"/>
    <n v="7255"/>
    <n v="1835"/>
  </r>
  <r>
    <n v="1891"/>
    <x v="195"/>
    <x v="4"/>
    <s v="Mehmet Kaya"/>
    <x v="3"/>
    <x v="10"/>
    <x v="1"/>
    <n v="7"/>
    <n v="6808"/>
    <n v="4447"/>
    <n v="47656"/>
    <n v="16527"/>
  </r>
  <r>
    <n v="1892"/>
    <x v="179"/>
    <x v="1"/>
    <s v="Mehmet Kaya"/>
    <x v="4"/>
    <x v="15"/>
    <x v="2"/>
    <n v="8"/>
    <n v="23620"/>
    <n v="17249"/>
    <n v="188960"/>
    <n v="50968"/>
  </r>
  <r>
    <n v="1893"/>
    <x v="302"/>
    <x v="3"/>
    <s v="Can Arslan"/>
    <x v="2"/>
    <x v="18"/>
    <x v="0"/>
    <n v="1"/>
    <n v="8472"/>
    <n v="5333"/>
    <n v="8472"/>
    <n v="3139"/>
  </r>
  <r>
    <n v="1894"/>
    <x v="179"/>
    <x v="1"/>
    <s v="Can Arslan"/>
    <x v="0"/>
    <x v="7"/>
    <x v="4"/>
    <n v="8"/>
    <n v="5081"/>
    <n v="3038"/>
    <n v="40648"/>
    <n v="16344"/>
  </r>
  <r>
    <n v="1895"/>
    <x v="152"/>
    <x v="2"/>
    <s v="Merve Şahin"/>
    <x v="1"/>
    <x v="1"/>
    <x v="1"/>
    <n v="8"/>
    <n v="2462"/>
    <n v="1554"/>
    <n v="19696"/>
    <n v="7264"/>
  </r>
  <r>
    <n v="1896"/>
    <x v="229"/>
    <x v="0"/>
    <s v="Merve Şahin"/>
    <x v="1"/>
    <x v="2"/>
    <x v="2"/>
    <n v="6"/>
    <n v="23804"/>
    <n v="18260"/>
    <n v="142824"/>
    <n v="33264"/>
  </r>
  <r>
    <n v="1897"/>
    <x v="14"/>
    <x v="0"/>
    <s v="Can Arslan"/>
    <x v="0"/>
    <x v="15"/>
    <x v="2"/>
    <n v="8"/>
    <n v="5843"/>
    <n v="3704"/>
    <n v="46744"/>
    <n v="17112"/>
  </r>
  <r>
    <n v="1898"/>
    <x v="255"/>
    <x v="1"/>
    <s v="Zeynep Çelik"/>
    <x v="3"/>
    <x v="14"/>
    <x v="1"/>
    <n v="2"/>
    <n v="4627"/>
    <n v="3281"/>
    <n v="9254"/>
    <n v="2692"/>
  </r>
  <r>
    <n v="1899"/>
    <x v="135"/>
    <x v="2"/>
    <s v="Ayşe Demir"/>
    <x v="0"/>
    <x v="9"/>
    <x v="3"/>
    <n v="9"/>
    <n v="1075"/>
    <n v="822"/>
    <n v="9675"/>
    <n v="2277"/>
  </r>
  <r>
    <n v="1900"/>
    <x v="242"/>
    <x v="3"/>
    <s v="Zeynep Çelik"/>
    <x v="1"/>
    <x v="14"/>
    <x v="1"/>
    <n v="4"/>
    <n v="6329"/>
    <n v="3577"/>
    <n v="25316"/>
    <n v="11008"/>
  </r>
  <r>
    <n v="1901"/>
    <x v="41"/>
    <x v="1"/>
    <s v="Zeynep Çelik"/>
    <x v="1"/>
    <x v="14"/>
    <x v="1"/>
    <n v="5"/>
    <n v="4710"/>
    <n v="3433"/>
    <n v="23550"/>
    <n v="6385"/>
  </r>
  <r>
    <n v="1902"/>
    <x v="308"/>
    <x v="0"/>
    <s v="Seda Yıldız"/>
    <x v="3"/>
    <x v="1"/>
    <x v="1"/>
    <n v="5"/>
    <n v="1037"/>
    <n v="538"/>
    <n v="5185"/>
    <n v="2495"/>
  </r>
  <r>
    <n v="1903"/>
    <x v="20"/>
    <x v="3"/>
    <s v="Can Arslan"/>
    <x v="4"/>
    <x v="10"/>
    <x v="1"/>
    <n v="9"/>
    <n v="6363"/>
    <n v="4936"/>
    <n v="57267"/>
    <n v="12843"/>
  </r>
  <r>
    <n v="1904"/>
    <x v="230"/>
    <x v="2"/>
    <s v="Burak Demir"/>
    <x v="2"/>
    <x v="13"/>
    <x v="0"/>
    <n v="2"/>
    <n v="9199"/>
    <n v="6305"/>
    <n v="18398"/>
    <n v="5788"/>
  </r>
  <r>
    <n v="1905"/>
    <x v="15"/>
    <x v="4"/>
    <s v="Emre Aydın"/>
    <x v="1"/>
    <x v="14"/>
    <x v="1"/>
    <n v="10"/>
    <n v="4419"/>
    <n v="3342"/>
    <n v="44190"/>
    <n v="10770"/>
  </r>
  <r>
    <n v="1906"/>
    <x v="124"/>
    <x v="1"/>
    <s v="Seda Yıldız"/>
    <x v="2"/>
    <x v="11"/>
    <x v="2"/>
    <n v="2"/>
    <n v="15692"/>
    <n v="8974"/>
    <n v="31384"/>
    <n v="13436"/>
  </r>
  <r>
    <n v="1907"/>
    <x v="258"/>
    <x v="3"/>
    <s v="Zeynep Çelik"/>
    <x v="4"/>
    <x v="7"/>
    <x v="4"/>
    <n v="4"/>
    <n v="4315"/>
    <n v="3166"/>
    <n v="17260"/>
    <n v="4596"/>
  </r>
  <r>
    <n v="1908"/>
    <x v="173"/>
    <x v="1"/>
    <s v="Emre Aydın"/>
    <x v="4"/>
    <x v="15"/>
    <x v="2"/>
    <n v="8"/>
    <n v="22547"/>
    <n v="14580"/>
    <n v="180376"/>
    <n v="63736"/>
  </r>
  <r>
    <n v="1909"/>
    <x v="321"/>
    <x v="2"/>
    <s v="Mehmet Kaya"/>
    <x v="2"/>
    <x v="7"/>
    <x v="4"/>
    <n v="10"/>
    <n v="636"/>
    <n v="336"/>
    <n v="6360"/>
    <n v="3000"/>
  </r>
  <r>
    <n v="1910"/>
    <x v="222"/>
    <x v="0"/>
    <s v="Can Arslan"/>
    <x v="2"/>
    <x v="0"/>
    <x v="0"/>
    <n v="9"/>
    <n v="4453"/>
    <n v="3345"/>
    <n v="40077"/>
    <n v="9972"/>
  </r>
  <r>
    <n v="1911"/>
    <x v="234"/>
    <x v="0"/>
    <s v="Seda Yıldız"/>
    <x v="1"/>
    <x v="12"/>
    <x v="4"/>
    <n v="4"/>
    <n v="4296"/>
    <n v="2207"/>
    <n v="17184"/>
    <n v="8356"/>
  </r>
  <r>
    <n v="1912"/>
    <x v="227"/>
    <x v="1"/>
    <s v="Elif Kaya"/>
    <x v="3"/>
    <x v="3"/>
    <x v="3"/>
    <n v="7"/>
    <n v="1746"/>
    <n v="949"/>
    <n v="12222"/>
    <n v="5579"/>
  </r>
  <r>
    <n v="1913"/>
    <x v="91"/>
    <x v="2"/>
    <s v="Mehmet Kaya"/>
    <x v="0"/>
    <x v="4"/>
    <x v="1"/>
    <n v="10"/>
    <n v="2253"/>
    <n v="1420"/>
    <n v="22530"/>
    <n v="8330"/>
  </r>
  <r>
    <n v="1914"/>
    <x v="58"/>
    <x v="3"/>
    <s v="Can Arslan"/>
    <x v="2"/>
    <x v="14"/>
    <x v="1"/>
    <n v="8"/>
    <n v="1599"/>
    <n v="832"/>
    <n v="12792"/>
    <n v="6136"/>
  </r>
  <r>
    <n v="1915"/>
    <x v="199"/>
    <x v="1"/>
    <s v="Can Arslan"/>
    <x v="3"/>
    <x v="2"/>
    <x v="2"/>
    <n v="10"/>
    <n v="16483"/>
    <n v="10248"/>
    <n v="164830"/>
    <n v="62350"/>
  </r>
  <r>
    <n v="1916"/>
    <x v="34"/>
    <x v="0"/>
    <s v="Zeynep Çelik"/>
    <x v="4"/>
    <x v="11"/>
    <x v="2"/>
    <n v="6"/>
    <n v="7123"/>
    <n v="5455"/>
    <n v="42738"/>
    <n v="10008"/>
  </r>
  <r>
    <n v="1917"/>
    <x v="182"/>
    <x v="3"/>
    <s v="Zeynep Çelik"/>
    <x v="2"/>
    <x v="4"/>
    <x v="1"/>
    <n v="8"/>
    <n v="7123"/>
    <n v="4439"/>
    <n v="56984"/>
    <n v="21472"/>
  </r>
  <r>
    <n v="1918"/>
    <x v="337"/>
    <x v="2"/>
    <s v="Merve Şahin"/>
    <x v="2"/>
    <x v="16"/>
    <x v="4"/>
    <n v="2"/>
    <n v="6566"/>
    <n v="3948"/>
    <n v="13132"/>
    <n v="5236"/>
  </r>
  <r>
    <n v="1919"/>
    <x v="212"/>
    <x v="4"/>
    <s v="Elif Kaya"/>
    <x v="4"/>
    <x v="15"/>
    <x v="2"/>
    <n v="5"/>
    <n v="17172"/>
    <n v="11866"/>
    <n v="85860"/>
    <n v="26530"/>
  </r>
  <r>
    <n v="1920"/>
    <x v="286"/>
    <x v="1"/>
    <s v="Emre Aydın"/>
    <x v="1"/>
    <x v="19"/>
    <x v="3"/>
    <n v="9"/>
    <n v="1828"/>
    <n v="1400"/>
    <n v="16452"/>
    <n v="3852"/>
  </r>
  <r>
    <n v="1921"/>
    <x v="273"/>
    <x v="3"/>
    <s v="Can Arslan"/>
    <x v="4"/>
    <x v="7"/>
    <x v="4"/>
    <n v="10"/>
    <n v="2607"/>
    <n v="1935"/>
    <n v="26070"/>
    <n v="6720"/>
  </r>
  <r>
    <n v="1922"/>
    <x v="41"/>
    <x v="1"/>
    <s v="Elif Kaya"/>
    <x v="0"/>
    <x v="11"/>
    <x v="2"/>
    <n v="5"/>
    <n v="13210"/>
    <n v="8569"/>
    <n v="66050"/>
    <n v="23205"/>
  </r>
  <r>
    <n v="1923"/>
    <x v="288"/>
    <x v="2"/>
    <s v="Elif Kaya"/>
    <x v="1"/>
    <x v="15"/>
    <x v="2"/>
    <n v="4"/>
    <n v="18555"/>
    <n v="12230"/>
    <n v="74220"/>
    <n v="25300"/>
  </r>
  <r>
    <n v="1924"/>
    <x v="329"/>
    <x v="0"/>
    <s v="Mehmet Kaya"/>
    <x v="0"/>
    <x v="15"/>
    <x v="2"/>
    <n v="1"/>
    <n v="13388"/>
    <n v="7106"/>
    <n v="13388"/>
    <n v="6282"/>
  </r>
  <r>
    <n v="1925"/>
    <x v="257"/>
    <x v="0"/>
    <s v="Zeynep Çelik"/>
    <x v="4"/>
    <x v="2"/>
    <x v="2"/>
    <n v="8"/>
    <n v="9912"/>
    <n v="6577"/>
    <n v="79296"/>
    <n v="26680"/>
  </r>
  <r>
    <n v="1926"/>
    <x v="54"/>
    <x v="1"/>
    <s v="Can Arslan"/>
    <x v="4"/>
    <x v="19"/>
    <x v="3"/>
    <n v="4"/>
    <n v="1474"/>
    <n v="741"/>
    <n v="5896"/>
    <n v="2932"/>
  </r>
  <r>
    <n v="1927"/>
    <x v="173"/>
    <x v="2"/>
    <s v="Zeynep Çelik"/>
    <x v="3"/>
    <x v="19"/>
    <x v="3"/>
    <n v="10"/>
    <n v="2967"/>
    <n v="1530"/>
    <n v="29670"/>
    <n v="14370"/>
  </r>
  <r>
    <n v="1928"/>
    <x v="157"/>
    <x v="3"/>
    <s v="Ayşe Demir"/>
    <x v="0"/>
    <x v="19"/>
    <x v="3"/>
    <n v="7"/>
    <n v="3189"/>
    <n v="2252"/>
    <n v="22323"/>
    <n v="6559"/>
  </r>
  <r>
    <n v="1929"/>
    <x v="131"/>
    <x v="1"/>
    <s v="Burak Demir"/>
    <x v="3"/>
    <x v="17"/>
    <x v="2"/>
    <n v="7"/>
    <n v="10637"/>
    <n v="6047"/>
    <n v="74459"/>
    <n v="32130"/>
  </r>
  <r>
    <n v="1930"/>
    <x v="277"/>
    <x v="0"/>
    <s v="Mehmet Kaya"/>
    <x v="4"/>
    <x v="17"/>
    <x v="2"/>
    <n v="7"/>
    <n v="18834"/>
    <n v="11480"/>
    <n v="131838"/>
    <n v="51478"/>
  </r>
  <r>
    <n v="1931"/>
    <x v="293"/>
    <x v="3"/>
    <s v="Elif Kaya"/>
    <x v="3"/>
    <x v="7"/>
    <x v="4"/>
    <n v="2"/>
    <n v="1401"/>
    <n v="774"/>
    <n v="2802"/>
    <n v="1254"/>
  </r>
  <r>
    <n v="1932"/>
    <x v="91"/>
    <x v="2"/>
    <s v="Burak Demir"/>
    <x v="2"/>
    <x v="2"/>
    <x v="2"/>
    <n v="6"/>
    <n v="12169"/>
    <n v="6461"/>
    <n v="73014"/>
    <n v="34248"/>
  </r>
  <r>
    <n v="1933"/>
    <x v="326"/>
    <x v="4"/>
    <s v="Ahmet Yılmaz"/>
    <x v="4"/>
    <x v="2"/>
    <x v="2"/>
    <n v="10"/>
    <n v="18366"/>
    <n v="10910"/>
    <n v="183660"/>
    <n v="74560"/>
  </r>
  <r>
    <n v="1934"/>
    <x v="202"/>
    <x v="1"/>
    <s v="Seda Yıldız"/>
    <x v="4"/>
    <x v="6"/>
    <x v="4"/>
    <n v="4"/>
    <n v="577"/>
    <n v="313"/>
    <n v="2308"/>
    <n v="1056"/>
  </r>
  <r>
    <n v="1935"/>
    <x v="133"/>
    <x v="3"/>
    <s v="Can Arslan"/>
    <x v="1"/>
    <x v="4"/>
    <x v="1"/>
    <n v="8"/>
    <n v="5457"/>
    <n v="4190"/>
    <n v="43656"/>
    <n v="10136"/>
  </r>
  <r>
    <n v="1936"/>
    <x v="262"/>
    <x v="1"/>
    <s v="Burak Demir"/>
    <x v="2"/>
    <x v="6"/>
    <x v="4"/>
    <n v="1"/>
    <n v="4572"/>
    <n v="2428"/>
    <n v="4572"/>
    <n v="2144"/>
  </r>
  <r>
    <n v="1937"/>
    <x v="70"/>
    <x v="2"/>
    <s v="Ahmet Yılmaz"/>
    <x v="1"/>
    <x v="18"/>
    <x v="0"/>
    <n v="1"/>
    <n v="10354"/>
    <n v="7406"/>
    <n v="10354"/>
    <n v="2948"/>
  </r>
  <r>
    <n v="1938"/>
    <x v="139"/>
    <x v="0"/>
    <s v="Burak Demir"/>
    <x v="4"/>
    <x v="11"/>
    <x v="2"/>
    <n v="1"/>
    <n v="10487"/>
    <n v="8090"/>
    <n v="10487"/>
    <n v="2397"/>
  </r>
  <r>
    <n v="1939"/>
    <x v="136"/>
    <x v="0"/>
    <s v="Ayşe Demir"/>
    <x v="3"/>
    <x v="4"/>
    <x v="1"/>
    <n v="9"/>
    <n v="6757"/>
    <n v="4740"/>
    <n v="60813"/>
    <n v="18153"/>
  </r>
  <r>
    <n v="1940"/>
    <x v="161"/>
    <x v="1"/>
    <s v="Ayşe Demir"/>
    <x v="1"/>
    <x v="14"/>
    <x v="1"/>
    <n v="2"/>
    <n v="7498"/>
    <n v="4196"/>
    <n v="14996"/>
    <n v="6604"/>
  </r>
  <r>
    <n v="1941"/>
    <x v="262"/>
    <x v="2"/>
    <s v="Mehmet Kaya"/>
    <x v="4"/>
    <x v="9"/>
    <x v="3"/>
    <n v="6"/>
    <n v="3874"/>
    <n v="2147"/>
    <n v="23244"/>
    <n v="10362"/>
  </r>
  <r>
    <n v="1942"/>
    <x v="338"/>
    <x v="3"/>
    <s v="Merve Şahin"/>
    <x v="3"/>
    <x v="6"/>
    <x v="4"/>
    <n v="2"/>
    <n v="3136"/>
    <n v="1632"/>
    <n v="6272"/>
    <n v="3008"/>
  </r>
  <r>
    <n v="1943"/>
    <x v="132"/>
    <x v="1"/>
    <s v="Ahmet Yılmaz"/>
    <x v="4"/>
    <x v="17"/>
    <x v="2"/>
    <n v="9"/>
    <n v="16337"/>
    <n v="11822"/>
    <n v="147033"/>
    <n v="40635"/>
  </r>
  <r>
    <n v="1944"/>
    <x v="276"/>
    <x v="0"/>
    <s v="Ahmet Yılmaz"/>
    <x v="2"/>
    <x v="6"/>
    <x v="4"/>
    <n v="9"/>
    <n v="5113"/>
    <n v="3081"/>
    <n v="46017"/>
    <n v="18288"/>
  </r>
  <r>
    <n v="1945"/>
    <x v="104"/>
    <x v="3"/>
    <s v="Seda Yıldız"/>
    <x v="2"/>
    <x v="3"/>
    <x v="3"/>
    <n v="8"/>
    <n v="3185"/>
    <n v="2082"/>
    <n v="25480"/>
    <n v="8824"/>
  </r>
  <r>
    <n v="1946"/>
    <x v="234"/>
    <x v="2"/>
    <s v="Zeynep Çelik"/>
    <x v="2"/>
    <x v="3"/>
    <x v="3"/>
    <n v="2"/>
    <n v="786"/>
    <n v="561"/>
    <n v="1572"/>
    <n v="450"/>
  </r>
  <r>
    <n v="1947"/>
    <x v="81"/>
    <x v="4"/>
    <s v="Elif Kaya"/>
    <x v="3"/>
    <x v="13"/>
    <x v="0"/>
    <n v="6"/>
    <n v="2620"/>
    <n v="2013"/>
    <n v="15720"/>
    <n v="3642"/>
  </r>
  <r>
    <n v="1948"/>
    <x v="69"/>
    <x v="1"/>
    <s v="Merve Şahin"/>
    <x v="3"/>
    <x v="7"/>
    <x v="4"/>
    <n v="9"/>
    <n v="6085"/>
    <n v="4505"/>
    <n v="54765"/>
    <n v="14220"/>
  </r>
  <r>
    <n v="1949"/>
    <x v="76"/>
    <x v="3"/>
    <s v="Zeynep Çelik"/>
    <x v="4"/>
    <x v="17"/>
    <x v="2"/>
    <n v="1"/>
    <n v="11759"/>
    <n v="7980"/>
    <n v="11759"/>
    <n v="3779"/>
  </r>
  <r>
    <n v="1950"/>
    <x v="123"/>
    <x v="1"/>
    <s v="Zeynep Çelik"/>
    <x v="1"/>
    <x v="14"/>
    <x v="1"/>
    <n v="1"/>
    <n v="2347"/>
    <n v="1174"/>
    <n v="2347"/>
    <n v="1173"/>
  </r>
  <r>
    <n v="1951"/>
    <x v="55"/>
    <x v="2"/>
    <s v="Ayşe Demir"/>
    <x v="0"/>
    <x v="18"/>
    <x v="0"/>
    <n v="2"/>
    <n v="2480"/>
    <n v="1939"/>
    <n v="4960"/>
    <n v="1082"/>
  </r>
  <r>
    <n v="1952"/>
    <x v="339"/>
    <x v="0"/>
    <s v="Ahmet Yılmaz"/>
    <x v="3"/>
    <x v="10"/>
    <x v="1"/>
    <n v="4"/>
    <n v="6849"/>
    <n v="4883"/>
    <n v="27396"/>
    <n v="7864"/>
  </r>
  <r>
    <n v="1953"/>
    <x v="57"/>
    <x v="0"/>
    <s v="Can Arslan"/>
    <x v="4"/>
    <x v="13"/>
    <x v="0"/>
    <n v="1"/>
    <n v="2993"/>
    <n v="1913"/>
    <n v="2993"/>
    <n v="1080"/>
  </r>
  <r>
    <n v="1954"/>
    <x v="159"/>
    <x v="1"/>
    <s v="Ayşe Demir"/>
    <x v="1"/>
    <x v="0"/>
    <x v="0"/>
    <n v="5"/>
    <n v="3887"/>
    <n v="2258"/>
    <n v="19435"/>
    <n v="8145"/>
  </r>
  <r>
    <n v="1955"/>
    <x v="155"/>
    <x v="2"/>
    <s v="Seda Yıldız"/>
    <x v="4"/>
    <x v="2"/>
    <x v="2"/>
    <n v="3"/>
    <n v="16563"/>
    <n v="11323"/>
    <n v="49689"/>
    <n v="15720"/>
  </r>
  <r>
    <n v="1956"/>
    <x v="227"/>
    <x v="3"/>
    <s v="Mehmet Kaya"/>
    <x v="4"/>
    <x v="13"/>
    <x v="0"/>
    <n v="2"/>
    <n v="5477"/>
    <n v="4314"/>
    <n v="10954"/>
    <n v="2326"/>
  </r>
  <r>
    <n v="1957"/>
    <x v="278"/>
    <x v="1"/>
    <s v="Emre Aydın"/>
    <x v="3"/>
    <x v="19"/>
    <x v="3"/>
    <n v="1"/>
    <n v="943"/>
    <n v="578"/>
    <n v="943"/>
    <n v="365"/>
  </r>
  <r>
    <n v="1958"/>
    <x v="278"/>
    <x v="0"/>
    <s v="Elif Kaya"/>
    <x v="3"/>
    <x v="10"/>
    <x v="1"/>
    <n v="4"/>
    <n v="1188"/>
    <n v="784"/>
    <n v="4752"/>
    <n v="1616"/>
  </r>
  <r>
    <n v="1959"/>
    <x v="221"/>
    <x v="3"/>
    <s v="Elif Kaya"/>
    <x v="1"/>
    <x v="10"/>
    <x v="1"/>
    <n v="10"/>
    <n v="2489"/>
    <n v="1379"/>
    <n v="24890"/>
    <n v="11100"/>
  </r>
  <r>
    <n v="1960"/>
    <x v="259"/>
    <x v="2"/>
    <s v="Zeynep Çelik"/>
    <x v="4"/>
    <x v="17"/>
    <x v="2"/>
    <n v="7"/>
    <n v="18973"/>
    <n v="10955"/>
    <n v="132811"/>
    <n v="56126"/>
  </r>
  <r>
    <n v="1961"/>
    <x v="148"/>
    <x v="4"/>
    <s v="Merve Şahin"/>
    <x v="2"/>
    <x v="10"/>
    <x v="1"/>
    <n v="10"/>
    <n v="3147"/>
    <n v="2508"/>
    <n v="31470"/>
    <n v="6390"/>
  </r>
  <r>
    <n v="1962"/>
    <x v="114"/>
    <x v="1"/>
    <s v="Mehmet Kaya"/>
    <x v="4"/>
    <x v="12"/>
    <x v="4"/>
    <n v="8"/>
    <n v="4329"/>
    <n v="2687"/>
    <n v="34632"/>
    <n v="13136"/>
  </r>
  <r>
    <n v="1963"/>
    <x v="125"/>
    <x v="3"/>
    <s v="Elif Kaya"/>
    <x v="2"/>
    <x v="11"/>
    <x v="2"/>
    <n v="2"/>
    <n v="16083"/>
    <n v="12282"/>
    <n v="32166"/>
    <n v="7602"/>
  </r>
  <r>
    <n v="1964"/>
    <x v="320"/>
    <x v="1"/>
    <s v="Elif Kaya"/>
    <x v="0"/>
    <x v="4"/>
    <x v="1"/>
    <n v="6"/>
    <n v="5954"/>
    <n v="4110"/>
    <n v="35724"/>
    <n v="11064"/>
  </r>
  <r>
    <n v="1965"/>
    <x v="311"/>
    <x v="2"/>
    <s v="Can Arslan"/>
    <x v="2"/>
    <x v="1"/>
    <x v="1"/>
    <n v="9"/>
    <n v="2344"/>
    <n v="1553"/>
    <n v="21096"/>
    <n v="7119"/>
  </r>
  <r>
    <n v="1966"/>
    <x v="78"/>
    <x v="0"/>
    <s v="Emre Aydın"/>
    <x v="1"/>
    <x v="2"/>
    <x v="2"/>
    <n v="3"/>
    <n v="20634"/>
    <n v="11891"/>
    <n v="61902"/>
    <n v="26229"/>
  </r>
  <r>
    <n v="1967"/>
    <x v="147"/>
    <x v="0"/>
    <s v="Ahmet Yılmaz"/>
    <x v="0"/>
    <x v="13"/>
    <x v="0"/>
    <n v="5"/>
    <n v="1920"/>
    <n v="1517"/>
    <n v="9600"/>
    <n v="2015"/>
  </r>
  <r>
    <n v="1968"/>
    <x v="111"/>
    <x v="1"/>
    <s v="Mehmet Kaya"/>
    <x v="4"/>
    <x v="14"/>
    <x v="1"/>
    <n v="10"/>
    <n v="1726"/>
    <n v="1131"/>
    <n v="17260"/>
    <n v="5950"/>
  </r>
  <r>
    <n v="1969"/>
    <x v="69"/>
    <x v="2"/>
    <s v="Burak Demir"/>
    <x v="0"/>
    <x v="11"/>
    <x v="2"/>
    <n v="10"/>
    <n v="19374"/>
    <n v="14891"/>
    <n v="193740"/>
    <n v="44830"/>
  </r>
  <r>
    <n v="1970"/>
    <x v="313"/>
    <x v="3"/>
    <s v="Zeynep Çelik"/>
    <x v="4"/>
    <x v="5"/>
    <x v="0"/>
    <n v="5"/>
    <n v="3131"/>
    <n v="2248"/>
    <n v="15655"/>
    <n v="4415"/>
  </r>
  <r>
    <n v="1971"/>
    <x v="124"/>
    <x v="1"/>
    <s v="Emre Aydın"/>
    <x v="4"/>
    <x v="7"/>
    <x v="4"/>
    <n v="3"/>
    <n v="4431"/>
    <n v="2519"/>
    <n v="13293"/>
    <n v="5736"/>
  </r>
  <r>
    <n v="1972"/>
    <x v="288"/>
    <x v="0"/>
    <s v="Seda Yıldız"/>
    <x v="0"/>
    <x v="6"/>
    <x v="4"/>
    <n v="9"/>
    <n v="3822"/>
    <n v="2638"/>
    <n v="34398"/>
    <n v="10656"/>
  </r>
  <r>
    <n v="1973"/>
    <x v="137"/>
    <x v="3"/>
    <s v="Ayşe Demir"/>
    <x v="2"/>
    <x v="19"/>
    <x v="3"/>
    <n v="5"/>
    <n v="699"/>
    <n v="440"/>
    <n v="3495"/>
    <n v="1295"/>
  </r>
  <r>
    <n v="1974"/>
    <x v="49"/>
    <x v="2"/>
    <s v="Can Arslan"/>
    <x v="2"/>
    <x v="0"/>
    <x v="0"/>
    <n v="4"/>
    <n v="4031"/>
    <n v="3066"/>
    <n v="16124"/>
    <n v="3860"/>
  </r>
  <r>
    <n v="1975"/>
    <x v="150"/>
    <x v="4"/>
    <s v="Emre Aydın"/>
    <x v="3"/>
    <x v="18"/>
    <x v="0"/>
    <n v="8"/>
    <n v="2361"/>
    <n v="1669"/>
    <n v="18888"/>
    <n v="5536"/>
  </r>
  <r>
    <n v="1976"/>
    <x v="340"/>
    <x v="1"/>
    <s v="Merve Şahin"/>
    <x v="3"/>
    <x v="17"/>
    <x v="2"/>
    <n v="4"/>
    <n v="10600"/>
    <n v="6755"/>
    <n v="42400"/>
    <n v="15380"/>
  </r>
  <r>
    <n v="1977"/>
    <x v="69"/>
    <x v="3"/>
    <s v="Merve Şahin"/>
    <x v="0"/>
    <x v="10"/>
    <x v="1"/>
    <n v="6"/>
    <n v="7750"/>
    <n v="4347"/>
    <n v="46500"/>
    <n v="20418"/>
  </r>
  <r>
    <n v="1978"/>
    <x v="275"/>
    <x v="1"/>
    <s v="Can Arslan"/>
    <x v="4"/>
    <x v="0"/>
    <x v="0"/>
    <n v="8"/>
    <n v="6853"/>
    <n v="5171"/>
    <n v="54824"/>
    <n v="13456"/>
  </r>
  <r>
    <n v="1979"/>
    <x v="245"/>
    <x v="2"/>
    <s v="Can Arslan"/>
    <x v="3"/>
    <x v="4"/>
    <x v="1"/>
    <n v="5"/>
    <n v="3203"/>
    <n v="1862"/>
    <n v="16015"/>
    <n v="6705"/>
  </r>
  <r>
    <n v="1980"/>
    <x v="31"/>
    <x v="0"/>
    <s v="Zeynep Çelik"/>
    <x v="2"/>
    <x v="7"/>
    <x v="4"/>
    <n v="4"/>
    <n v="5694"/>
    <n v="2887"/>
    <n v="22776"/>
    <n v="11228"/>
  </r>
  <r>
    <n v="1981"/>
    <x v="70"/>
    <x v="0"/>
    <s v="Ahmet Yılmaz"/>
    <x v="1"/>
    <x v="10"/>
    <x v="1"/>
    <n v="9"/>
    <n v="4173"/>
    <n v="2743"/>
    <n v="37557"/>
    <n v="12870"/>
  </r>
  <r>
    <n v="1982"/>
    <x v="56"/>
    <x v="1"/>
    <s v="Merve Şahin"/>
    <x v="1"/>
    <x v="11"/>
    <x v="2"/>
    <n v="8"/>
    <n v="12408"/>
    <n v="7835"/>
    <n v="99264"/>
    <n v="36584"/>
  </r>
  <r>
    <n v="1983"/>
    <x v="195"/>
    <x v="2"/>
    <s v="Mehmet Kaya"/>
    <x v="1"/>
    <x v="19"/>
    <x v="3"/>
    <n v="5"/>
    <n v="3637"/>
    <n v="2233"/>
    <n v="18185"/>
    <n v="7020"/>
  </r>
  <r>
    <n v="1984"/>
    <x v="178"/>
    <x v="3"/>
    <s v="Merve Şahin"/>
    <x v="0"/>
    <x v="6"/>
    <x v="4"/>
    <n v="8"/>
    <n v="6970"/>
    <n v="3619"/>
    <n v="55760"/>
    <n v="26808"/>
  </r>
  <r>
    <n v="1985"/>
    <x v="320"/>
    <x v="1"/>
    <s v="Merve Şahin"/>
    <x v="2"/>
    <x v="18"/>
    <x v="0"/>
    <n v="9"/>
    <n v="2291"/>
    <n v="1585"/>
    <n v="20619"/>
    <n v="6354"/>
  </r>
  <r>
    <n v="1986"/>
    <x v="271"/>
    <x v="0"/>
    <s v="Elif Kaya"/>
    <x v="2"/>
    <x v="6"/>
    <x v="4"/>
    <n v="10"/>
    <n v="3776"/>
    <n v="1918"/>
    <n v="37760"/>
    <n v="18580"/>
  </r>
  <r>
    <n v="1987"/>
    <x v="289"/>
    <x v="3"/>
    <s v="Can Arslan"/>
    <x v="0"/>
    <x v="2"/>
    <x v="2"/>
    <n v="6"/>
    <n v="15791"/>
    <n v="10826"/>
    <n v="94746"/>
    <n v="29790"/>
  </r>
  <r>
    <n v="1988"/>
    <x v="17"/>
    <x v="2"/>
    <s v="Ayşe Demir"/>
    <x v="1"/>
    <x v="4"/>
    <x v="1"/>
    <n v="5"/>
    <n v="4424"/>
    <n v="3157"/>
    <n v="22120"/>
    <n v="6335"/>
  </r>
  <r>
    <n v="1989"/>
    <x v="219"/>
    <x v="4"/>
    <s v="Ahmet Yılmaz"/>
    <x v="3"/>
    <x v="2"/>
    <x v="2"/>
    <n v="6"/>
    <n v="14129"/>
    <n v="9691"/>
    <n v="84774"/>
    <n v="26628"/>
  </r>
  <r>
    <n v="1990"/>
    <x v="248"/>
    <x v="1"/>
    <s v="Merve Şahin"/>
    <x v="4"/>
    <x v="12"/>
    <x v="4"/>
    <n v="7"/>
    <n v="2930"/>
    <n v="2249"/>
    <n v="20510"/>
    <n v="4767"/>
  </r>
  <r>
    <n v="1991"/>
    <x v="23"/>
    <x v="3"/>
    <s v="Merve Şahin"/>
    <x v="0"/>
    <x v="9"/>
    <x v="3"/>
    <n v="5"/>
    <n v="308"/>
    <n v="214"/>
    <n v="1540"/>
    <n v="470"/>
  </r>
  <r>
    <n v="1992"/>
    <x v="152"/>
    <x v="1"/>
    <s v="Ayşe Demir"/>
    <x v="1"/>
    <x v="11"/>
    <x v="2"/>
    <n v="7"/>
    <n v="21410"/>
    <n v="16600"/>
    <n v="149870"/>
    <n v="33670"/>
  </r>
  <r>
    <n v="1993"/>
    <x v="81"/>
    <x v="2"/>
    <s v="Ahmet Yılmaz"/>
    <x v="0"/>
    <x v="2"/>
    <x v="2"/>
    <n v="10"/>
    <n v="7415"/>
    <n v="3865"/>
    <n v="74150"/>
    <n v="35500"/>
  </r>
  <r>
    <n v="1994"/>
    <x v="160"/>
    <x v="0"/>
    <s v="Burak Demir"/>
    <x v="3"/>
    <x v="1"/>
    <x v="1"/>
    <n v="2"/>
    <n v="4105"/>
    <n v="3183"/>
    <n v="8210"/>
    <n v="1844"/>
  </r>
  <r>
    <n v="1995"/>
    <x v="290"/>
    <x v="0"/>
    <s v="Merve Şahin"/>
    <x v="1"/>
    <x v="7"/>
    <x v="4"/>
    <n v="9"/>
    <n v="2019"/>
    <n v="1339"/>
    <n v="18171"/>
    <n v="6120"/>
  </r>
  <r>
    <n v="1996"/>
    <x v="4"/>
    <x v="1"/>
    <s v="Merve Şahin"/>
    <x v="1"/>
    <x v="17"/>
    <x v="2"/>
    <n v="2"/>
    <n v="19628"/>
    <n v="11803"/>
    <n v="39256"/>
    <n v="15650"/>
  </r>
  <r>
    <n v="1997"/>
    <x v="23"/>
    <x v="2"/>
    <s v="Ayşe Demir"/>
    <x v="4"/>
    <x v="6"/>
    <x v="4"/>
    <n v="10"/>
    <n v="1054"/>
    <n v="823"/>
    <n v="10540"/>
    <n v="2310"/>
  </r>
  <r>
    <n v="1998"/>
    <x v="28"/>
    <x v="3"/>
    <s v="Can Arslan"/>
    <x v="3"/>
    <x v="14"/>
    <x v="1"/>
    <n v="5"/>
    <n v="6922"/>
    <n v="3554"/>
    <n v="34610"/>
    <n v="16840"/>
  </r>
  <r>
    <n v="1999"/>
    <x v="263"/>
    <x v="1"/>
    <s v="Can Arslan"/>
    <x v="3"/>
    <x v="2"/>
    <x v="2"/>
    <n v="2"/>
    <n v="5143"/>
    <n v="2687"/>
    <n v="10286"/>
    <n v="4912"/>
  </r>
  <r>
    <n v="2000"/>
    <x v="298"/>
    <x v="0"/>
    <s v="Seda Yıldız"/>
    <x v="2"/>
    <x v="12"/>
    <x v="4"/>
    <n v="7"/>
    <n v="4876"/>
    <n v="2708"/>
    <n v="34132"/>
    <n v="15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17A2FD-D03E-4084-AC88-EBD200D25EDC}" name="PivotTable1"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1">
  <location ref="A5:B11" firstHeaderRow="1" firstDataRow="1" firstDataCol="1"/>
  <pivotFields count="14">
    <pivotField showAll="0"/>
    <pivotField numFmtId="14" showAll="0">
      <items count="342">
        <item x="104"/>
        <item x="340"/>
        <item x="335"/>
        <item x="193"/>
        <item x="275"/>
        <item x="284"/>
        <item x="35"/>
        <item x="175"/>
        <item x="205"/>
        <item x="98"/>
        <item x="240"/>
        <item x="154"/>
        <item x="183"/>
        <item x="121"/>
        <item x="92"/>
        <item x="329"/>
        <item x="228"/>
        <item x="198"/>
        <item x="201"/>
        <item x="62"/>
        <item x="229"/>
        <item x="53"/>
        <item x="16"/>
        <item x="59"/>
        <item x="38"/>
        <item x="97"/>
        <item x="264"/>
        <item x="54"/>
        <item x="316"/>
        <item x="169"/>
        <item x="119"/>
        <item x="56"/>
        <item x="58"/>
        <item x="115"/>
        <item x="110"/>
        <item x="148"/>
        <item x="2"/>
        <item x="37"/>
        <item x="237"/>
        <item x="192"/>
        <item x="254"/>
        <item x="256"/>
        <item x="156"/>
        <item x="46"/>
        <item x="191"/>
        <item x="52"/>
        <item x="79"/>
        <item x="126"/>
        <item x="185"/>
        <item x="101"/>
        <item x="266"/>
        <item x="142"/>
        <item x="271"/>
        <item x="60"/>
        <item x="204"/>
        <item x="293"/>
        <item x="146"/>
        <item x="267"/>
        <item x="176"/>
        <item x="129"/>
        <item x="68"/>
        <item x="241"/>
        <item x="42"/>
        <item x="77"/>
        <item x="222"/>
        <item x="25"/>
        <item x="161"/>
        <item x="236"/>
        <item x="14"/>
        <item x="203"/>
        <item x="213"/>
        <item x="238"/>
        <item x="282"/>
        <item x="174"/>
        <item x="89"/>
        <item x="100"/>
        <item x="139"/>
        <item x="73"/>
        <item x="8"/>
        <item x="180"/>
        <item x="41"/>
        <item x="334"/>
        <item x="80"/>
        <item x="317"/>
        <item x="44"/>
        <item x="202"/>
        <item x="109"/>
        <item x="123"/>
        <item x="245"/>
        <item x="190"/>
        <item x="81"/>
        <item x="208"/>
        <item x="308"/>
        <item x="13"/>
        <item x="130"/>
        <item x="31"/>
        <item x="69"/>
        <item x="290"/>
        <item x="30"/>
        <item x="250"/>
        <item x="233"/>
        <item x="306"/>
        <item x="66"/>
        <item x="262"/>
        <item x="71"/>
        <item x="226"/>
        <item x="315"/>
        <item x="321"/>
        <item x="268"/>
        <item x="27"/>
        <item x="285"/>
        <item x="116"/>
        <item x="153"/>
        <item x="299"/>
        <item x="96"/>
        <item x="173"/>
        <item x="47"/>
        <item x="336"/>
        <item x="219"/>
        <item x="224"/>
        <item x="260"/>
        <item x="140"/>
        <item x="304"/>
        <item x="118"/>
        <item x="40"/>
        <item x="125"/>
        <item x="323"/>
        <item x="21"/>
        <item x="164"/>
        <item x="178"/>
        <item x="43"/>
        <item x="253"/>
        <item x="93"/>
        <item x="200"/>
        <item x="307"/>
        <item x="303"/>
        <item x="247"/>
        <item x="218"/>
        <item x="133"/>
        <item x="242"/>
        <item x="105"/>
        <item x="32"/>
        <item x="9"/>
        <item x="263"/>
        <item x="182"/>
        <item x="215"/>
        <item x="227"/>
        <item x="292"/>
        <item x="91"/>
        <item x="184"/>
        <item x="294"/>
        <item x="216"/>
        <item x="230"/>
        <item x="51"/>
        <item x="90"/>
        <item x="128"/>
        <item x="78"/>
        <item x="301"/>
        <item x="151"/>
        <item x="134"/>
        <item x="99"/>
        <item x="225"/>
        <item x="214"/>
        <item x="223"/>
        <item x="327"/>
        <item x="7"/>
        <item x="15"/>
        <item x="249"/>
        <item x="310"/>
        <item x="211"/>
        <item x="74"/>
        <item x="270"/>
        <item x="217"/>
        <item x="45"/>
        <item x="283"/>
        <item x="320"/>
        <item x="187"/>
        <item x="122"/>
        <item x="231"/>
        <item x="296"/>
        <item x="61"/>
        <item x="141"/>
        <item x="102"/>
        <item x="124"/>
        <item x="291"/>
        <item x="252"/>
        <item x="1"/>
        <item x="170"/>
        <item x="194"/>
        <item x="331"/>
        <item x="199"/>
        <item x="75"/>
        <item x="179"/>
        <item x="257"/>
        <item x="144"/>
        <item x="221"/>
        <item x="286"/>
        <item x="258"/>
        <item x="72"/>
        <item x="48"/>
        <item x="298"/>
        <item x="82"/>
        <item x="138"/>
        <item x="330"/>
        <item x="295"/>
        <item x="235"/>
        <item x="117"/>
        <item x="112"/>
        <item x="159"/>
        <item x="197"/>
        <item x="324"/>
        <item x="19"/>
        <item x="6"/>
        <item x="137"/>
        <item x="88"/>
        <item x="186"/>
        <item x="106"/>
        <item x="171"/>
        <item x="49"/>
        <item x="95"/>
        <item x="11"/>
        <item x="251"/>
        <item x="87"/>
        <item x="67"/>
        <item x="302"/>
        <item x="147"/>
        <item x="326"/>
        <item x="114"/>
        <item x="20"/>
        <item x="273"/>
        <item x="165"/>
        <item x="281"/>
        <item x="259"/>
        <item x="132"/>
        <item x="113"/>
        <item x="22"/>
        <item x="328"/>
        <item x="206"/>
        <item x="261"/>
        <item x="163"/>
        <item x="279"/>
        <item x="24"/>
        <item x="162"/>
        <item x="181"/>
        <item x="276"/>
        <item x="57"/>
        <item x="339"/>
        <item x="17"/>
        <item x="158"/>
        <item x="338"/>
        <item x="274"/>
        <item x="322"/>
        <item x="314"/>
        <item x="288"/>
        <item x="167"/>
        <item x="111"/>
        <item x="319"/>
        <item x="210"/>
        <item x="269"/>
        <item x="212"/>
        <item x="289"/>
        <item x="278"/>
        <item x="166"/>
        <item x="4"/>
        <item x="76"/>
        <item x="0"/>
        <item x="84"/>
        <item x="131"/>
        <item x="39"/>
        <item x="28"/>
        <item x="232"/>
        <item x="12"/>
        <item x="172"/>
        <item x="152"/>
        <item x="332"/>
        <item x="168"/>
        <item x="312"/>
        <item x="300"/>
        <item x="120"/>
        <item x="63"/>
        <item x="246"/>
        <item x="195"/>
        <item x="318"/>
        <item x="305"/>
        <item x="108"/>
        <item x="280"/>
        <item x="18"/>
        <item x="157"/>
        <item x="309"/>
        <item x="209"/>
        <item x="196"/>
        <item x="177"/>
        <item x="143"/>
        <item x="189"/>
        <item x="26"/>
        <item x="220"/>
        <item x="103"/>
        <item x="188"/>
        <item x="5"/>
        <item x="265"/>
        <item x="50"/>
        <item x="333"/>
        <item x="234"/>
        <item x="160"/>
        <item x="150"/>
        <item x="85"/>
        <item x="135"/>
        <item x="243"/>
        <item x="248"/>
        <item x="325"/>
        <item x="94"/>
        <item x="207"/>
        <item x="313"/>
        <item x="34"/>
        <item x="3"/>
        <item x="23"/>
        <item x="297"/>
        <item x="136"/>
        <item x="36"/>
        <item x="70"/>
        <item x="277"/>
        <item x="33"/>
        <item x="287"/>
        <item x="29"/>
        <item x="127"/>
        <item x="107"/>
        <item x="239"/>
        <item x="244"/>
        <item x="55"/>
        <item x="255"/>
        <item x="65"/>
        <item x="311"/>
        <item x="272"/>
        <item x="149"/>
        <item x="337"/>
        <item x="86"/>
        <item x="10"/>
        <item x="64"/>
        <item x="145"/>
        <item x="83"/>
        <item x="155"/>
        <item t="default"/>
      </items>
    </pivotField>
    <pivotField showAll="0">
      <items count="6">
        <item x="0"/>
        <item x="1"/>
        <item x="4"/>
        <item x="2"/>
        <item x="3"/>
        <item t="default"/>
      </items>
    </pivotField>
    <pivotField showAll="0"/>
    <pivotField showAll="0">
      <items count="6">
        <item x="0"/>
        <item x="1"/>
        <item x="3"/>
        <item x="4"/>
        <item x="2"/>
        <item t="default"/>
      </items>
    </pivotField>
    <pivotField showAll="0"/>
    <pivotField axis="axisRow" showAll="0">
      <items count="6">
        <item x="3"/>
        <item x="0"/>
        <item x="1"/>
        <item x="4"/>
        <item x="2"/>
        <item t="default"/>
      </items>
    </pivotField>
    <pivotField showAll="0"/>
    <pivotField numFmtId="164" showAll="0"/>
    <pivotField numFmtId="164" showAll="0"/>
    <pivotField dataField="1" numFmtId="164"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Toplam Sales" fld="10" baseField="0" baseItem="0" numFmtId="164"/>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2E5D5-ADDE-49E9-8608-6E74921E1654}" name="PivotTable3"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28">
  <location ref="A2:B15" firstHeaderRow="1" firstDataRow="1" firstDataCol="1"/>
  <pivotFields count="14">
    <pivotField showAll="0"/>
    <pivotField numFmtId="14" showAll="0">
      <items count="342">
        <item x="104"/>
        <item x="340"/>
        <item x="335"/>
        <item x="193"/>
        <item x="275"/>
        <item x="284"/>
        <item x="35"/>
        <item x="175"/>
        <item x="205"/>
        <item x="98"/>
        <item x="240"/>
        <item x="154"/>
        <item x="183"/>
        <item x="121"/>
        <item x="92"/>
        <item x="329"/>
        <item x="228"/>
        <item x="198"/>
        <item x="201"/>
        <item x="62"/>
        <item x="229"/>
        <item x="53"/>
        <item x="16"/>
        <item x="59"/>
        <item x="38"/>
        <item x="97"/>
        <item x="264"/>
        <item x="54"/>
        <item x="316"/>
        <item x="169"/>
        <item x="119"/>
        <item x="56"/>
        <item x="58"/>
        <item x="115"/>
        <item x="110"/>
        <item x="148"/>
        <item x="2"/>
        <item x="37"/>
        <item x="237"/>
        <item x="192"/>
        <item x="254"/>
        <item x="256"/>
        <item x="156"/>
        <item x="46"/>
        <item x="191"/>
        <item x="52"/>
        <item x="79"/>
        <item x="126"/>
        <item x="185"/>
        <item x="101"/>
        <item x="266"/>
        <item x="142"/>
        <item x="271"/>
        <item x="60"/>
        <item x="204"/>
        <item x="293"/>
        <item x="146"/>
        <item x="267"/>
        <item x="176"/>
        <item x="129"/>
        <item x="68"/>
        <item x="241"/>
        <item x="42"/>
        <item x="77"/>
        <item x="222"/>
        <item x="25"/>
        <item x="161"/>
        <item x="236"/>
        <item x="14"/>
        <item x="203"/>
        <item x="213"/>
        <item x="238"/>
        <item x="282"/>
        <item x="174"/>
        <item x="89"/>
        <item x="100"/>
        <item x="139"/>
        <item x="73"/>
        <item x="8"/>
        <item x="180"/>
        <item x="41"/>
        <item x="334"/>
        <item x="80"/>
        <item x="317"/>
        <item x="44"/>
        <item x="202"/>
        <item x="109"/>
        <item x="123"/>
        <item x="245"/>
        <item x="190"/>
        <item x="81"/>
        <item x="208"/>
        <item x="308"/>
        <item x="13"/>
        <item x="130"/>
        <item x="31"/>
        <item x="69"/>
        <item x="290"/>
        <item x="30"/>
        <item x="250"/>
        <item x="233"/>
        <item x="306"/>
        <item x="66"/>
        <item x="262"/>
        <item x="71"/>
        <item x="226"/>
        <item x="315"/>
        <item x="321"/>
        <item x="268"/>
        <item x="27"/>
        <item x="285"/>
        <item x="116"/>
        <item x="153"/>
        <item x="299"/>
        <item x="96"/>
        <item x="173"/>
        <item x="47"/>
        <item x="336"/>
        <item x="219"/>
        <item x="224"/>
        <item x="260"/>
        <item x="140"/>
        <item x="304"/>
        <item x="118"/>
        <item x="40"/>
        <item x="125"/>
        <item x="323"/>
        <item x="21"/>
        <item x="164"/>
        <item x="178"/>
        <item x="43"/>
        <item x="253"/>
        <item x="93"/>
        <item x="200"/>
        <item x="307"/>
        <item x="303"/>
        <item x="247"/>
        <item x="218"/>
        <item x="133"/>
        <item x="242"/>
        <item x="105"/>
        <item x="32"/>
        <item x="9"/>
        <item x="263"/>
        <item x="182"/>
        <item x="215"/>
        <item x="227"/>
        <item x="292"/>
        <item x="91"/>
        <item x="184"/>
        <item x="294"/>
        <item x="216"/>
        <item x="230"/>
        <item x="51"/>
        <item x="90"/>
        <item x="128"/>
        <item x="78"/>
        <item x="301"/>
        <item x="151"/>
        <item x="134"/>
        <item x="99"/>
        <item x="225"/>
        <item x="214"/>
        <item x="223"/>
        <item x="327"/>
        <item x="7"/>
        <item x="15"/>
        <item x="249"/>
        <item x="310"/>
        <item x="211"/>
        <item x="74"/>
        <item x="270"/>
        <item x="217"/>
        <item x="45"/>
        <item x="283"/>
        <item x="320"/>
        <item x="187"/>
        <item x="122"/>
        <item x="231"/>
        <item x="296"/>
        <item x="61"/>
        <item x="141"/>
        <item x="102"/>
        <item x="124"/>
        <item x="291"/>
        <item x="252"/>
        <item x="1"/>
        <item x="170"/>
        <item x="194"/>
        <item x="331"/>
        <item x="199"/>
        <item x="75"/>
        <item x="179"/>
        <item x="257"/>
        <item x="144"/>
        <item x="221"/>
        <item x="286"/>
        <item x="258"/>
        <item x="72"/>
        <item x="48"/>
        <item x="298"/>
        <item x="82"/>
        <item x="138"/>
        <item x="330"/>
        <item x="295"/>
        <item x="235"/>
        <item x="117"/>
        <item x="112"/>
        <item x="159"/>
        <item x="197"/>
        <item x="324"/>
        <item x="19"/>
        <item x="6"/>
        <item x="137"/>
        <item x="88"/>
        <item x="186"/>
        <item x="106"/>
        <item x="171"/>
        <item x="49"/>
        <item x="95"/>
        <item x="11"/>
        <item x="251"/>
        <item x="87"/>
        <item x="67"/>
        <item x="302"/>
        <item x="147"/>
        <item x="326"/>
        <item x="114"/>
        <item x="20"/>
        <item x="273"/>
        <item x="165"/>
        <item x="281"/>
        <item x="259"/>
        <item x="132"/>
        <item x="113"/>
        <item x="22"/>
        <item x="328"/>
        <item x="206"/>
        <item x="261"/>
        <item x="163"/>
        <item x="279"/>
        <item x="24"/>
        <item x="162"/>
        <item x="181"/>
        <item x="276"/>
        <item x="57"/>
        <item x="339"/>
        <item x="17"/>
        <item x="158"/>
        <item x="338"/>
        <item x="274"/>
        <item x="322"/>
        <item x="314"/>
        <item x="288"/>
        <item x="167"/>
        <item x="111"/>
        <item x="319"/>
        <item x="210"/>
        <item x="269"/>
        <item x="212"/>
        <item x="289"/>
        <item x="278"/>
        <item x="166"/>
        <item x="4"/>
        <item x="76"/>
        <item x="0"/>
        <item x="84"/>
        <item x="131"/>
        <item x="39"/>
        <item x="28"/>
        <item x="232"/>
        <item x="12"/>
        <item x="172"/>
        <item x="152"/>
        <item x="332"/>
        <item x="168"/>
        <item x="312"/>
        <item x="300"/>
        <item x="120"/>
        <item x="63"/>
        <item x="246"/>
        <item x="195"/>
        <item x="318"/>
        <item x="305"/>
        <item x="108"/>
        <item x="280"/>
        <item x="18"/>
        <item x="157"/>
        <item x="309"/>
        <item x="209"/>
        <item x="196"/>
        <item x="177"/>
        <item x="143"/>
        <item x="189"/>
        <item x="26"/>
        <item x="220"/>
        <item x="103"/>
        <item x="188"/>
        <item x="5"/>
        <item x="265"/>
        <item x="50"/>
        <item x="333"/>
        <item x="234"/>
        <item x="160"/>
        <item x="150"/>
        <item x="85"/>
        <item x="135"/>
        <item x="243"/>
        <item x="248"/>
        <item x="325"/>
        <item x="94"/>
        <item x="207"/>
        <item x="313"/>
        <item x="34"/>
        <item x="3"/>
        <item x="23"/>
        <item x="297"/>
        <item x="136"/>
        <item x="36"/>
        <item x="70"/>
        <item x="277"/>
        <item x="33"/>
        <item x="287"/>
        <item x="29"/>
        <item x="127"/>
        <item x="107"/>
        <item x="239"/>
        <item x="244"/>
        <item x="55"/>
        <item x="255"/>
        <item x="65"/>
        <item x="311"/>
        <item x="272"/>
        <item x="149"/>
        <item x="337"/>
        <item x="86"/>
        <item x="10"/>
        <item x="64"/>
        <item x="145"/>
        <item x="83"/>
        <item x="155"/>
        <item t="default"/>
      </items>
    </pivotField>
    <pivotField showAll="0">
      <items count="6">
        <item x="0"/>
        <item x="1"/>
        <item x="4"/>
        <item x="2"/>
        <item x="3"/>
        <item t="default"/>
      </items>
    </pivotField>
    <pivotField showAll="0"/>
    <pivotField showAll="0">
      <items count="6">
        <item x="0"/>
        <item x="1"/>
        <item x="3"/>
        <item x="4"/>
        <item x="2"/>
        <item t="default"/>
      </items>
    </pivotField>
    <pivotField showAll="0"/>
    <pivotField showAll="0">
      <items count="6">
        <item x="3"/>
        <item x="0"/>
        <item x="1"/>
        <item x="4"/>
        <item x="2"/>
        <item t="default"/>
      </items>
    </pivotField>
    <pivotField showAll="0"/>
    <pivotField numFmtId="164" showAll="0"/>
    <pivotField numFmtId="164" showAll="0"/>
    <pivotField numFmtId="164"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Toplam Profit" fld="11" baseField="0" baseItem="0" numFmtId="164"/>
  </dataFields>
  <chartFormats count="1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4"/>
          </reference>
        </references>
      </pivotArea>
    </chartFormat>
    <chartFormat chart="0" format="6">
      <pivotArea type="data" outline="0" fieldPosition="0">
        <references count="2">
          <reference field="4294967294" count="1" selected="0">
            <x v="0"/>
          </reference>
          <reference field="13" count="1" selected="0">
            <x v="6"/>
          </reference>
        </references>
      </pivotArea>
    </chartFormat>
    <chartFormat chart="0" format="7">
      <pivotArea type="data" outline="0" fieldPosition="0">
        <references count="2">
          <reference field="4294967294" count="1" selected="0">
            <x v="0"/>
          </reference>
          <reference field="13" count="1" selected="0">
            <x v="7"/>
          </reference>
        </references>
      </pivotArea>
    </chartFormat>
    <chartFormat chart="0" format="8">
      <pivotArea type="data" outline="0" fieldPosition="0">
        <references count="2">
          <reference field="4294967294" count="1" selected="0">
            <x v="0"/>
          </reference>
          <reference field="13" count="1" selected="0">
            <x v="9"/>
          </reference>
        </references>
      </pivotArea>
    </chartFormat>
    <chartFormat chart="0" format="9">
      <pivotArea type="data" outline="0" fieldPosition="0">
        <references count="2">
          <reference field="4294967294" count="1" selected="0">
            <x v="0"/>
          </reference>
          <reference field="13" count="1" selected="0">
            <x v="11"/>
          </reference>
        </references>
      </pivotArea>
    </chartFormat>
    <chartFormat chart="24" format="34" series="1">
      <pivotArea type="data" outline="0" fieldPosition="0">
        <references count="1">
          <reference field="4294967294" count="1" selected="0">
            <x v="0"/>
          </reference>
        </references>
      </pivotArea>
    </chartFormat>
    <chartFormat chart="24" format="35">
      <pivotArea type="data" outline="0" fieldPosition="0">
        <references count="2">
          <reference field="4294967294" count="1" selected="0">
            <x v="0"/>
          </reference>
          <reference field="13" count="1" selected="0">
            <x v="2"/>
          </reference>
        </references>
      </pivotArea>
    </chartFormat>
    <chartFormat chart="24" format="36">
      <pivotArea type="data" outline="0" fieldPosition="0">
        <references count="2">
          <reference field="4294967294" count="1" selected="0">
            <x v="0"/>
          </reference>
          <reference field="13" count="1" selected="0">
            <x v="3"/>
          </reference>
        </references>
      </pivotArea>
    </chartFormat>
    <chartFormat chart="24" format="37">
      <pivotArea type="data" outline="0" fieldPosition="0">
        <references count="2">
          <reference field="4294967294" count="1" selected="0">
            <x v="0"/>
          </reference>
          <reference field="13" count="1" selected="0">
            <x v="4"/>
          </reference>
        </references>
      </pivotArea>
    </chartFormat>
    <chartFormat chart="24" format="38">
      <pivotArea type="data" outline="0" fieldPosition="0">
        <references count="2">
          <reference field="4294967294" count="1" selected="0">
            <x v="0"/>
          </reference>
          <reference field="13" count="1" selected="0">
            <x v="6"/>
          </reference>
        </references>
      </pivotArea>
    </chartFormat>
    <chartFormat chart="24" format="39">
      <pivotArea type="data" outline="0" fieldPosition="0">
        <references count="2">
          <reference field="4294967294" count="1" selected="0">
            <x v="0"/>
          </reference>
          <reference field="13" count="1" selected="0">
            <x v="7"/>
          </reference>
        </references>
      </pivotArea>
    </chartFormat>
    <chartFormat chart="24" format="40">
      <pivotArea type="data" outline="0" fieldPosition="0">
        <references count="2">
          <reference field="4294967294" count="1" selected="0">
            <x v="0"/>
          </reference>
          <reference field="13" count="1" selected="0">
            <x v="9"/>
          </reference>
        </references>
      </pivotArea>
    </chartFormat>
    <chartFormat chart="24" format="41">
      <pivotArea type="data" outline="0" fieldPosition="0">
        <references count="2">
          <reference field="4294967294" count="1" selected="0">
            <x v="0"/>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CA03D-DF01-479E-922A-EFA15BAC8E2E}" name="PivotTable4"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7">
  <location ref="A6:B12" firstHeaderRow="1" firstDataRow="1" firstDataCol="1"/>
  <pivotFields count="14">
    <pivotField showAll="0"/>
    <pivotField numFmtId="14" showAll="0">
      <items count="342">
        <item x="104"/>
        <item x="340"/>
        <item x="335"/>
        <item x="193"/>
        <item x="275"/>
        <item x="284"/>
        <item x="35"/>
        <item x="175"/>
        <item x="205"/>
        <item x="98"/>
        <item x="240"/>
        <item x="154"/>
        <item x="183"/>
        <item x="121"/>
        <item x="92"/>
        <item x="329"/>
        <item x="228"/>
        <item x="198"/>
        <item x="201"/>
        <item x="62"/>
        <item x="229"/>
        <item x="53"/>
        <item x="16"/>
        <item x="59"/>
        <item x="38"/>
        <item x="97"/>
        <item x="264"/>
        <item x="54"/>
        <item x="316"/>
        <item x="169"/>
        <item x="119"/>
        <item x="56"/>
        <item x="58"/>
        <item x="115"/>
        <item x="110"/>
        <item x="148"/>
        <item x="2"/>
        <item x="37"/>
        <item x="237"/>
        <item x="192"/>
        <item x="254"/>
        <item x="256"/>
        <item x="156"/>
        <item x="46"/>
        <item x="191"/>
        <item x="52"/>
        <item x="79"/>
        <item x="126"/>
        <item x="185"/>
        <item x="101"/>
        <item x="266"/>
        <item x="142"/>
        <item x="271"/>
        <item x="60"/>
        <item x="204"/>
        <item x="293"/>
        <item x="146"/>
        <item x="267"/>
        <item x="176"/>
        <item x="129"/>
        <item x="68"/>
        <item x="241"/>
        <item x="42"/>
        <item x="77"/>
        <item x="222"/>
        <item x="25"/>
        <item x="161"/>
        <item x="236"/>
        <item x="14"/>
        <item x="203"/>
        <item x="213"/>
        <item x="238"/>
        <item x="282"/>
        <item x="174"/>
        <item x="89"/>
        <item x="100"/>
        <item x="139"/>
        <item x="73"/>
        <item x="8"/>
        <item x="180"/>
        <item x="41"/>
        <item x="334"/>
        <item x="80"/>
        <item x="317"/>
        <item x="44"/>
        <item x="202"/>
        <item x="109"/>
        <item x="123"/>
        <item x="245"/>
        <item x="190"/>
        <item x="81"/>
        <item x="208"/>
        <item x="308"/>
        <item x="13"/>
        <item x="130"/>
        <item x="31"/>
        <item x="69"/>
        <item x="290"/>
        <item x="30"/>
        <item x="250"/>
        <item x="233"/>
        <item x="306"/>
        <item x="66"/>
        <item x="262"/>
        <item x="71"/>
        <item x="226"/>
        <item x="315"/>
        <item x="321"/>
        <item x="268"/>
        <item x="27"/>
        <item x="285"/>
        <item x="116"/>
        <item x="153"/>
        <item x="299"/>
        <item x="96"/>
        <item x="173"/>
        <item x="47"/>
        <item x="336"/>
        <item x="219"/>
        <item x="224"/>
        <item x="260"/>
        <item x="140"/>
        <item x="304"/>
        <item x="118"/>
        <item x="40"/>
        <item x="125"/>
        <item x="323"/>
        <item x="21"/>
        <item x="164"/>
        <item x="178"/>
        <item x="43"/>
        <item x="253"/>
        <item x="93"/>
        <item x="200"/>
        <item x="307"/>
        <item x="303"/>
        <item x="247"/>
        <item x="218"/>
        <item x="133"/>
        <item x="242"/>
        <item x="105"/>
        <item x="32"/>
        <item x="9"/>
        <item x="263"/>
        <item x="182"/>
        <item x="215"/>
        <item x="227"/>
        <item x="292"/>
        <item x="91"/>
        <item x="184"/>
        <item x="294"/>
        <item x="216"/>
        <item x="230"/>
        <item x="51"/>
        <item x="90"/>
        <item x="128"/>
        <item x="78"/>
        <item x="301"/>
        <item x="151"/>
        <item x="134"/>
        <item x="99"/>
        <item x="225"/>
        <item x="214"/>
        <item x="223"/>
        <item x="327"/>
        <item x="7"/>
        <item x="15"/>
        <item x="249"/>
        <item x="310"/>
        <item x="211"/>
        <item x="74"/>
        <item x="270"/>
        <item x="217"/>
        <item x="45"/>
        <item x="283"/>
        <item x="320"/>
        <item x="187"/>
        <item x="122"/>
        <item x="231"/>
        <item x="296"/>
        <item x="61"/>
        <item x="141"/>
        <item x="102"/>
        <item x="124"/>
        <item x="291"/>
        <item x="252"/>
        <item x="1"/>
        <item x="170"/>
        <item x="194"/>
        <item x="331"/>
        <item x="199"/>
        <item x="75"/>
        <item x="179"/>
        <item x="257"/>
        <item x="144"/>
        <item x="221"/>
        <item x="286"/>
        <item x="258"/>
        <item x="72"/>
        <item x="48"/>
        <item x="298"/>
        <item x="82"/>
        <item x="138"/>
        <item x="330"/>
        <item x="295"/>
        <item x="235"/>
        <item x="117"/>
        <item x="112"/>
        <item x="159"/>
        <item x="197"/>
        <item x="324"/>
        <item x="19"/>
        <item x="6"/>
        <item x="137"/>
        <item x="88"/>
        <item x="186"/>
        <item x="106"/>
        <item x="171"/>
        <item x="49"/>
        <item x="95"/>
        <item x="11"/>
        <item x="251"/>
        <item x="87"/>
        <item x="67"/>
        <item x="302"/>
        <item x="147"/>
        <item x="326"/>
        <item x="114"/>
        <item x="20"/>
        <item x="273"/>
        <item x="165"/>
        <item x="281"/>
        <item x="259"/>
        <item x="132"/>
        <item x="113"/>
        <item x="22"/>
        <item x="328"/>
        <item x="206"/>
        <item x="261"/>
        <item x="163"/>
        <item x="279"/>
        <item x="24"/>
        <item x="162"/>
        <item x="181"/>
        <item x="276"/>
        <item x="57"/>
        <item x="339"/>
        <item x="17"/>
        <item x="158"/>
        <item x="338"/>
        <item x="274"/>
        <item x="322"/>
        <item x="314"/>
        <item x="288"/>
        <item x="167"/>
        <item x="111"/>
        <item x="319"/>
        <item x="210"/>
        <item x="269"/>
        <item x="212"/>
        <item x="289"/>
        <item x="278"/>
        <item x="166"/>
        <item x="4"/>
        <item x="76"/>
        <item x="0"/>
        <item x="84"/>
        <item x="131"/>
        <item x="39"/>
        <item x="28"/>
        <item x="232"/>
        <item x="12"/>
        <item x="172"/>
        <item x="152"/>
        <item x="332"/>
        <item x="168"/>
        <item x="312"/>
        <item x="300"/>
        <item x="120"/>
        <item x="63"/>
        <item x="246"/>
        <item x="195"/>
        <item x="318"/>
        <item x="305"/>
        <item x="108"/>
        <item x="280"/>
        <item x="18"/>
        <item x="157"/>
        <item x="309"/>
        <item x="209"/>
        <item x="196"/>
        <item x="177"/>
        <item x="143"/>
        <item x="189"/>
        <item x="26"/>
        <item x="220"/>
        <item x="103"/>
        <item x="188"/>
        <item x="5"/>
        <item x="265"/>
        <item x="50"/>
        <item x="333"/>
        <item x="234"/>
        <item x="160"/>
        <item x="150"/>
        <item x="85"/>
        <item x="135"/>
        <item x="243"/>
        <item x="248"/>
        <item x="325"/>
        <item x="94"/>
        <item x="207"/>
        <item x="313"/>
        <item x="34"/>
        <item x="3"/>
        <item x="23"/>
        <item x="297"/>
        <item x="136"/>
        <item x="36"/>
        <item x="70"/>
        <item x="277"/>
        <item x="33"/>
        <item x="287"/>
        <item x="29"/>
        <item x="127"/>
        <item x="107"/>
        <item x="239"/>
        <item x="244"/>
        <item x="55"/>
        <item x="255"/>
        <item x="65"/>
        <item x="311"/>
        <item x="272"/>
        <item x="149"/>
        <item x="337"/>
        <item x="86"/>
        <item x="10"/>
        <item x="64"/>
        <item x="145"/>
        <item x="83"/>
        <item x="155"/>
        <item t="default"/>
      </items>
    </pivotField>
    <pivotField showAll="0">
      <items count="6">
        <item x="0"/>
        <item x="1"/>
        <item x="4"/>
        <item x="2"/>
        <item x="3"/>
        <item t="default"/>
      </items>
    </pivotField>
    <pivotField showAll="0"/>
    <pivotField axis="axisRow" showAll="0" sortType="ascending">
      <items count="6">
        <item x="0"/>
        <item x="1"/>
        <item x="3"/>
        <item x="4"/>
        <item x="2"/>
        <item t="default"/>
      </items>
      <autoSortScope>
        <pivotArea dataOnly="0" outline="0" fieldPosition="0">
          <references count="1">
            <reference field="4294967294" count="1" selected="0">
              <x v="0"/>
            </reference>
          </references>
        </pivotArea>
      </autoSortScope>
    </pivotField>
    <pivotField showAll="0"/>
    <pivotField showAll="0">
      <items count="6">
        <item x="3"/>
        <item x="0"/>
        <item x="1"/>
        <item x="4"/>
        <item x="2"/>
        <item t="default"/>
      </items>
    </pivotField>
    <pivotField showAll="0"/>
    <pivotField numFmtId="164" showAll="0"/>
    <pivotField numFmtId="164" showAll="0"/>
    <pivotField dataField="1"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v="4"/>
    </i>
    <i>
      <x/>
    </i>
    <i>
      <x v="1"/>
    </i>
    <i>
      <x v="2"/>
    </i>
    <i>
      <x v="3"/>
    </i>
    <i t="grand">
      <x/>
    </i>
  </rowItems>
  <colItems count="1">
    <i/>
  </colItems>
  <dataFields count="1">
    <dataField name="Toplam Sales" fld="10" baseField="0" baseItem="0" numFmtId="164"/>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 chart="3" format="4">
      <pivotArea type="data" outline="0" fieldPosition="0">
        <references count="2">
          <reference field="4294967294" count="1" selected="0">
            <x v="0"/>
          </reference>
          <reference field="4" count="1" selected="0">
            <x v="4"/>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EA531-4B4F-418C-AF1B-D44DAB710A7B}" name="PivotTable5"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7">
  <location ref="A5:B9" firstHeaderRow="1" firstDataRow="1" firstDataCol="1"/>
  <pivotFields count="14">
    <pivotField showAll="0"/>
    <pivotField numFmtId="14" showAll="0">
      <items count="342">
        <item x="104"/>
        <item x="340"/>
        <item x="335"/>
        <item x="193"/>
        <item x="275"/>
        <item x="284"/>
        <item x="35"/>
        <item x="175"/>
        <item x="205"/>
        <item x="98"/>
        <item x="240"/>
        <item x="154"/>
        <item x="183"/>
        <item x="121"/>
        <item x="92"/>
        <item x="329"/>
        <item x="228"/>
        <item x="198"/>
        <item x="201"/>
        <item x="62"/>
        <item x="229"/>
        <item x="53"/>
        <item x="16"/>
        <item x="59"/>
        <item x="38"/>
        <item x="97"/>
        <item x="264"/>
        <item x="54"/>
        <item x="316"/>
        <item x="169"/>
        <item x="119"/>
        <item x="56"/>
        <item x="58"/>
        <item x="115"/>
        <item x="110"/>
        <item x="148"/>
        <item x="2"/>
        <item x="37"/>
        <item x="237"/>
        <item x="192"/>
        <item x="254"/>
        <item x="256"/>
        <item x="156"/>
        <item x="46"/>
        <item x="191"/>
        <item x="52"/>
        <item x="79"/>
        <item x="126"/>
        <item x="185"/>
        <item x="101"/>
        <item x="266"/>
        <item x="142"/>
        <item x="271"/>
        <item x="60"/>
        <item x="204"/>
        <item x="293"/>
        <item x="146"/>
        <item x="267"/>
        <item x="176"/>
        <item x="129"/>
        <item x="68"/>
        <item x="241"/>
        <item x="42"/>
        <item x="77"/>
        <item x="222"/>
        <item x="25"/>
        <item x="161"/>
        <item x="236"/>
        <item x="14"/>
        <item x="203"/>
        <item x="213"/>
        <item x="238"/>
        <item x="282"/>
        <item x="174"/>
        <item x="89"/>
        <item x="100"/>
        <item x="139"/>
        <item x="73"/>
        <item x="8"/>
        <item x="180"/>
        <item x="41"/>
        <item x="334"/>
        <item x="80"/>
        <item x="317"/>
        <item x="44"/>
        <item x="202"/>
        <item x="109"/>
        <item x="123"/>
        <item x="245"/>
        <item x="190"/>
        <item x="81"/>
        <item x="208"/>
        <item x="308"/>
        <item x="13"/>
        <item x="130"/>
        <item x="31"/>
        <item x="69"/>
        <item x="290"/>
        <item x="30"/>
        <item x="250"/>
        <item x="233"/>
        <item x="306"/>
        <item x="66"/>
        <item x="262"/>
        <item x="71"/>
        <item x="226"/>
        <item x="315"/>
        <item x="321"/>
        <item x="268"/>
        <item x="27"/>
        <item x="285"/>
        <item x="116"/>
        <item x="153"/>
        <item x="299"/>
        <item x="96"/>
        <item x="173"/>
        <item x="47"/>
        <item x="336"/>
        <item x="219"/>
        <item x="224"/>
        <item x="260"/>
        <item x="140"/>
        <item x="304"/>
        <item x="118"/>
        <item x="40"/>
        <item x="125"/>
        <item x="323"/>
        <item x="21"/>
        <item x="164"/>
        <item x="178"/>
        <item x="43"/>
        <item x="253"/>
        <item x="93"/>
        <item x="200"/>
        <item x="307"/>
        <item x="303"/>
        <item x="247"/>
        <item x="218"/>
        <item x="133"/>
        <item x="242"/>
        <item x="105"/>
        <item x="32"/>
        <item x="9"/>
        <item x="263"/>
        <item x="182"/>
        <item x="215"/>
        <item x="227"/>
        <item x="292"/>
        <item x="91"/>
        <item x="184"/>
        <item x="294"/>
        <item x="216"/>
        <item x="230"/>
        <item x="51"/>
        <item x="90"/>
        <item x="128"/>
        <item x="78"/>
        <item x="301"/>
        <item x="151"/>
        <item x="134"/>
        <item x="99"/>
        <item x="225"/>
        <item x="214"/>
        <item x="223"/>
        <item x="327"/>
        <item x="7"/>
        <item x="15"/>
        <item x="249"/>
        <item x="310"/>
        <item x="211"/>
        <item x="74"/>
        <item x="270"/>
        <item x="217"/>
        <item x="45"/>
        <item x="283"/>
        <item x="320"/>
        <item x="187"/>
        <item x="122"/>
        <item x="231"/>
        <item x="296"/>
        <item x="61"/>
        <item x="141"/>
        <item x="102"/>
        <item x="124"/>
        <item x="291"/>
        <item x="252"/>
        <item x="1"/>
        <item x="170"/>
        <item x="194"/>
        <item x="331"/>
        <item x="199"/>
        <item x="75"/>
        <item x="179"/>
        <item x="257"/>
        <item x="144"/>
        <item x="221"/>
        <item x="286"/>
        <item x="258"/>
        <item x="72"/>
        <item x="48"/>
        <item x="298"/>
        <item x="82"/>
        <item x="138"/>
        <item x="330"/>
        <item x="295"/>
        <item x="235"/>
        <item x="117"/>
        <item x="112"/>
        <item x="159"/>
        <item x="197"/>
        <item x="324"/>
        <item x="19"/>
        <item x="6"/>
        <item x="137"/>
        <item x="88"/>
        <item x="186"/>
        <item x="106"/>
        <item x="171"/>
        <item x="49"/>
        <item x="95"/>
        <item x="11"/>
        <item x="251"/>
        <item x="87"/>
        <item x="67"/>
        <item x="302"/>
        <item x="147"/>
        <item x="326"/>
        <item x="114"/>
        <item x="20"/>
        <item x="273"/>
        <item x="165"/>
        <item x="281"/>
        <item x="259"/>
        <item x="132"/>
        <item x="113"/>
        <item x="22"/>
        <item x="328"/>
        <item x="206"/>
        <item x="261"/>
        <item x="163"/>
        <item x="279"/>
        <item x="24"/>
        <item x="162"/>
        <item x="181"/>
        <item x="276"/>
        <item x="57"/>
        <item x="339"/>
        <item x="17"/>
        <item x="158"/>
        <item x="338"/>
        <item x="274"/>
        <item x="322"/>
        <item x="314"/>
        <item x="288"/>
        <item x="167"/>
        <item x="111"/>
        <item x="319"/>
        <item x="210"/>
        <item x="269"/>
        <item x="212"/>
        <item x="289"/>
        <item x="278"/>
        <item x="166"/>
        <item x="4"/>
        <item x="76"/>
        <item x="0"/>
        <item x="84"/>
        <item x="131"/>
        <item x="39"/>
        <item x="28"/>
        <item x="232"/>
        <item x="12"/>
        <item x="172"/>
        <item x="152"/>
        <item x="332"/>
        <item x="168"/>
        <item x="312"/>
        <item x="300"/>
        <item x="120"/>
        <item x="63"/>
        <item x="246"/>
        <item x="195"/>
        <item x="318"/>
        <item x="305"/>
        <item x="108"/>
        <item x="280"/>
        <item x="18"/>
        <item x="157"/>
        <item x="309"/>
        <item x="209"/>
        <item x="196"/>
        <item x="177"/>
        <item x="143"/>
        <item x="189"/>
        <item x="26"/>
        <item x="220"/>
        <item x="103"/>
        <item x="188"/>
        <item x="5"/>
        <item x="265"/>
        <item x="50"/>
        <item x="333"/>
        <item x="234"/>
        <item x="160"/>
        <item x="150"/>
        <item x="85"/>
        <item x="135"/>
        <item x="243"/>
        <item x="248"/>
        <item x="325"/>
        <item x="94"/>
        <item x="207"/>
        <item x="313"/>
        <item x="34"/>
        <item x="3"/>
        <item x="23"/>
        <item x="297"/>
        <item x="136"/>
        <item x="36"/>
        <item x="70"/>
        <item x="277"/>
        <item x="33"/>
        <item x="287"/>
        <item x="29"/>
        <item x="127"/>
        <item x="107"/>
        <item x="239"/>
        <item x="244"/>
        <item x="55"/>
        <item x="255"/>
        <item x="65"/>
        <item x="311"/>
        <item x="272"/>
        <item x="149"/>
        <item x="337"/>
        <item x="86"/>
        <item x="10"/>
        <item x="64"/>
        <item x="145"/>
        <item x="83"/>
        <item x="155"/>
        <item t="default"/>
      </items>
    </pivotField>
    <pivotField showAll="0">
      <items count="6">
        <item x="0"/>
        <item x="1"/>
        <item x="4"/>
        <item x="2"/>
        <item x="3"/>
        <item t="default"/>
      </items>
    </pivotField>
    <pivotField showAll="0"/>
    <pivotField showAll="0">
      <items count="6">
        <item x="0"/>
        <item x="1"/>
        <item x="3"/>
        <item x="4"/>
        <item x="2"/>
        <item t="default"/>
      </items>
    </pivotField>
    <pivotField axis="axisRow" showAll="0" measureFilter="1" sortType="descending">
      <items count="21">
        <item x="14"/>
        <item x="7"/>
        <item x="10"/>
        <item x="5"/>
        <item x="18"/>
        <item x="13"/>
        <item x="12"/>
        <item x="6"/>
        <item x="17"/>
        <item x="19"/>
        <item x="8"/>
        <item x="15"/>
        <item x="1"/>
        <item x="2"/>
        <item x="16"/>
        <item x="9"/>
        <item x="0"/>
        <item x="11"/>
        <item x="3"/>
        <item x="4"/>
        <item t="default"/>
      </items>
      <autoSortScope>
        <pivotArea dataOnly="0" outline="0" fieldPosition="0">
          <references count="1">
            <reference field="4294967294" count="1" selected="0">
              <x v="0"/>
            </reference>
          </references>
        </pivotArea>
      </autoSortScope>
    </pivotField>
    <pivotField showAll="0">
      <items count="6">
        <item x="3"/>
        <item x="0"/>
        <item x="1"/>
        <item x="4"/>
        <item x="2"/>
        <item t="default"/>
      </items>
    </pivotField>
    <pivotField showAll="0"/>
    <pivotField numFmtId="164" showAll="0"/>
    <pivotField numFmtId="164" showAll="0"/>
    <pivotField numFmtId="164" showAll="0"/>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v="11"/>
    </i>
    <i>
      <x v="17"/>
    </i>
    <i>
      <x v="13"/>
    </i>
    <i t="grand">
      <x/>
    </i>
  </rowItems>
  <colItems count="1">
    <i/>
  </colItems>
  <dataFields count="1">
    <dataField name="Toplam Profit" fld="11" baseField="0" baseItem="0" numFmtId="164"/>
  </dataFields>
  <chartFormats count="8">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5" count="1" selected="0">
            <x v="13"/>
          </reference>
        </references>
      </pivotArea>
    </chartFormat>
    <chartFormat chart="14" format="4">
      <pivotArea type="data" outline="0" fieldPosition="0">
        <references count="2">
          <reference field="4294967294" count="1" selected="0">
            <x v="0"/>
          </reference>
          <reference field="5" count="1" selected="0">
            <x v="17"/>
          </reference>
        </references>
      </pivotArea>
    </chartFormat>
    <chartFormat chart="14" format="5">
      <pivotArea type="data" outline="0" fieldPosition="0">
        <references count="2">
          <reference field="4294967294" count="1" selected="0">
            <x v="0"/>
          </reference>
          <reference field="5" count="1" selected="0">
            <x v="11"/>
          </reference>
        </references>
      </pivotArea>
    </chartFormat>
    <chartFormat chart="10" format="1">
      <pivotArea type="data" outline="0" fieldPosition="0">
        <references count="2">
          <reference field="4294967294" count="1" selected="0">
            <x v="0"/>
          </reference>
          <reference field="5" count="1" selected="0">
            <x v="13"/>
          </reference>
        </references>
      </pivotArea>
    </chartFormat>
    <chartFormat chart="10" format="2">
      <pivotArea type="data" outline="0" fieldPosition="0">
        <references count="2">
          <reference field="4294967294" count="1" selected="0">
            <x v="0"/>
          </reference>
          <reference field="5" count="1" selected="0">
            <x v="17"/>
          </reference>
        </references>
      </pivotArea>
    </chartFormat>
    <chartFormat chart="10" format="3">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Sales_Person" xr10:uid="{EA19CE71-E7AF-473C-B0E3-9B6B551D5CC0}" sourceName="Sales Person">
  <pivotTables>
    <pivotTable tabId="2" name="PivotTable1"/>
    <pivotTable tabId="5" name="PivotTable3"/>
    <pivotTable tabId="6" name="PivotTable4"/>
    <pivotTable tabId="7" name="PivotTable5"/>
  </pivotTables>
  <data>
    <tabular pivotCacheId="27682508">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Region" xr10:uid="{48F15921-1C8B-4092-B49D-E80EC591B95E}" sourceName="Region">
  <pivotTables>
    <pivotTable tabId="2" name="PivotTable1"/>
    <pivotTable tabId="5" name="PivotTable3"/>
    <pivotTable tabId="6" name="PivotTable4"/>
    <pivotTable tabId="7" name="PivotTable5"/>
  </pivotTables>
  <data>
    <tabular pivotCacheId="27682508">
      <items count="5">
        <i x="0"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ilimleyici_Category" xr10:uid="{28462EB6-E48E-41C3-BD69-BF66DBA3D218}" sourceName="Category">
  <pivotTables>
    <pivotTable tabId="2" name="PivotTable1"/>
    <pivotTable tabId="5" name="PivotTable3"/>
    <pivotTable tabId="6" name="PivotTable4"/>
    <pivotTable tabId="7" name="PivotTable5"/>
  </pivotTables>
  <data>
    <tabular pivotCacheId="27682508">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E78313C6-31EB-40EF-9FEA-89F5E6126CBD}" cache="Dilimleyici_Sales_Person" caption="Sales Person" rowHeight="247650"/>
  <slicer name="Region" xr10:uid="{08D66890-A15A-45B2-AEAB-F18655FA67C2}" cache="Dilimleyici_Region" caption="Region" rowHeight="247650"/>
  <slicer name="Category" xr10:uid="{A33273DB-1067-4EA2-91AB-59A7142FCE51}" cache="Dilimleyici_Category" caption="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449962-A706-40C2-A236-6A0CA6FC4EC5}" name="Tablo1" displayName="Tablo1" ref="A1:L1001" totalsRowShown="0" dataDxfId="14">
  <autoFilter ref="A1:L1001" xr:uid="{D9449962-A706-40C2-A236-6A0CA6FC4EC5}"/>
  <tableColumns count="12">
    <tableColumn id="1" xr3:uid="{5DBAE341-E81D-4EE5-89A7-E6AC61600232}" name="Order_ID" dataDxfId="13"/>
    <tableColumn id="12" xr3:uid="{679DACF3-AA47-44F7-8AEA-EBA8FF9FB790}" name="Order_Date" dataDxfId="12"/>
    <tableColumn id="2" xr3:uid="{BB1D7E7A-FD2F-443D-A964-A5EE96847771}" name="Sales Person" dataDxfId="11"/>
    <tableColumn id="3" xr3:uid="{4AAC366F-718E-4F00-8F2A-6C3611784996}" name="Customer_Name" dataDxfId="10"/>
    <tableColumn id="4" xr3:uid="{9077ACFE-890C-4220-AA09-2687804F9121}" name="Region" dataDxfId="9"/>
    <tableColumn id="5" xr3:uid="{486A10D5-A4CB-4C42-95EC-E085BDB50DF6}" name="Product" dataDxfId="8"/>
    <tableColumn id="6" xr3:uid="{F34809FB-863C-4F5B-BE4C-B0FBCAABAD78}" name="Category" dataDxfId="7"/>
    <tableColumn id="7" xr3:uid="{301EE474-0E2C-41B2-A5D9-A76AB180A789}" name="Quantity" dataDxfId="6"/>
    <tableColumn id="8" xr3:uid="{26E968F7-90B8-434B-AC75-020E25266415}" name="Unit_Price" dataDxfId="5"/>
    <tableColumn id="9" xr3:uid="{DE709D07-7CB6-434B-B65E-236FAEFAEEC0}" name="Unit_Cost" dataDxfId="4"/>
    <tableColumn id="10" xr3:uid="{5CE873E2-BD03-44AF-A506-DC83527A60BD}" name="Sales" dataDxfId="3">
      <calculatedColumnFormula>Tablo1[[#This Row],[Quantity]]*Tablo1[[#This Row],[Unit_Price]]</calculatedColumnFormula>
    </tableColumn>
    <tableColumn id="11" xr3:uid="{0762A891-C559-49A0-9B10-AF76B7989AF7}" name="Profit" dataDxfId="2">
      <calculatedColumnFormula>Tablo1[[#This Row],[Sales]]-(Tablo1[[#This Row],[Quantity]]*Tablo1[[#This Row],[Unit_Cost]])</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D6C3CC-7E94-4177-A7BA-2EB554C2DC12}" name="Tablo2" displayName="Tablo2" ref="A17:B29" totalsRowShown="0">
  <autoFilter ref="A17:B29" xr:uid="{E4D6C3CC-7E94-4177-A7BA-2EB554C2DC12}"/>
  <tableColumns count="2">
    <tableColumn id="1" xr3:uid="{2AB01304-4423-4CF9-B069-0C1B82BD99BA}" name="Months" dataDxfId="1"/>
    <tableColumn id="2" xr3:uid="{EF88ABB9-1650-4D13-A5CA-E0904C4E5E61}" name="Profit Average" dataDxfId="0">
      <calculatedColumnFormula>AVERAGE($B$3:$B$14)</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BE05D-9E13-41DE-B14E-96E9AA77869A}">
  <sheetPr codeName="Sheet6"/>
  <dimension ref="G2:W12"/>
  <sheetViews>
    <sheetView showGridLines="0" showRowColHeaders="0" tabSelected="1" topLeftCell="D1" zoomScale="65" zoomScaleNormal="65" workbookViewId="0">
      <selection activeCell="A9" sqref="A9"/>
    </sheetView>
  </sheetViews>
  <sheetFormatPr defaultRowHeight="14.4" x14ac:dyDescent="0.3"/>
  <cols>
    <col min="7" max="7" width="9.77734375" customWidth="1"/>
    <col min="8" max="8" width="17" bestFit="1" customWidth="1"/>
    <col min="9" max="9" width="23" customWidth="1"/>
    <col min="10" max="10" width="14.44140625" customWidth="1"/>
    <col min="11" max="15" width="32.21875" customWidth="1"/>
  </cols>
  <sheetData>
    <row r="2" spans="7:23" ht="18" x14ac:dyDescent="0.35">
      <c r="R2" s="31">
        <f ca="1">TODAY()</f>
        <v>46067</v>
      </c>
      <c r="S2" s="32"/>
      <c r="T2" s="32"/>
      <c r="U2" s="32"/>
      <c r="V2" s="32"/>
      <c r="W2" s="33"/>
    </row>
    <row r="3" spans="7:23" ht="18" x14ac:dyDescent="0.35">
      <c r="G3" s="1"/>
      <c r="R3" s="25" t="s">
        <v>80</v>
      </c>
      <c r="S3" s="26"/>
      <c r="T3" s="26"/>
      <c r="U3" s="26"/>
      <c r="V3" s="26"/>
      <c r="W3" s="27"/>
    </row>
    <row r="4" spans="7:23" ht="18.600000000000001" thickBot="1" x14ac:dyDescent="0.4">
      <c r="R4" s="28" t="s">
        <v>81</v>
      </c>
      <c r="S4" s="29"/>
      <c r="T4" s="29"/>
      <c r="U4" s="29"/>
      <c r="V4" s="29"/>
      <c r="W4" s="30"/>
    </row>
    <row r="5" spans="7:23" ht="37.200000000000003" thickBot="1" x14ac:dyDescent="0.6">
      <c r="H5" s="9"/>
      <c r="I5" s="9"/>
      <c r="J5" s="19" t="s">
        <v>54</v>
      </c>
      <c r="K5" s="20"/>
      <c r="L5" s="20"/>
      <c r="M5" s="20"/>
      <c r="N5" s="20"/>
      <c r="O5" s="20"/>
      <c r="P5" s="21"/>
      <c r="T5" s="10"/>
    </row>
    <row r="6" spans="7:23" ht="24" thickBot="1" x14ac:dyDescent="0.5">
      <c r="L6" s="22" t="s">
        <v>79</v>
      </c>
      <c r="M6" s="23"/>
      <c r="N6" s="24"/>
    </row>
    <row r="7" spans="7:23" ht="6.6" customHeight="1" thickBot="1" x14ac:dyDescent="0.35">
      <c r="O7" s="11"/>
      <c r="P7" s="11"/>
      <c r="Q7" s="11"/>
    </row>
    <row r="8" spans="7:23" ht="48.6" customHeight="1" thickBot="1" x14ac:dyDescent="0.35">
      <c r="K8" s="14" t="s">
        <v>55</v>
      </c>
      <c r="L8" s="14" t="s">
        <v>56</v>
      </c>
      <c r="M8" s="14" t="s">
        <v>57</v>
      </c>
      <c r="N8" s="12" t="s">
        <v>58</v>
      </c>
      <c r="O8" s="15" t="s">
        <v>59</v>
      </c>
      <c r="P8" s="11"/>
      <c r="Q8" s="11"/>
    </row>
    <row r="9" spans="7:23" ht="21.6" thickBot="1" x14ac:dyDescent="0.35">
      <c r="K9" s="17">
        <f>SUM(Tablo1[Sales])</f>
        <v>35931883</v>
      </c>
      <c r="L9" s="17">
        <f>SUM(Tablo1[Profit])</f>
        <v>12340851</v>
      </c>
      <c r="M9" s="18">
        <f>COUNTA(Raw_Data!K:K)-1</f>
        <v>1000</v>
      </c>
      <c r="N9" s="13">
        <f>K9/M9</f>
        <v>35931.883000000002</v>
      </c>
      <c r="O9" s="16">
        <f>L9/K9</f>
        <v>0.34345127417897914</v>
      </c>
      <c r="P9" s="11"/>
      <c r="Q9" s="11"/>
    </row>
    <row r="10" spans="7:23" ht="15.6" x14ac:dyDescent="0.3">
      <c r="O10" s="11"/>
      <c r="P10" s="11"/>
      <c r="Q10" s="11"/>
    </row>
    <row r="11" spans="7:23" ht="15.6" x14ac:dyDescent="0.3">
      <c r="O11" s="11"/>
      <c r="P11" s="11"/>
      <c r="Q11" s="11"/>
    </row>
    <row r="12" spans="7:23" ht="15.6" x14ac:dyDescent="0.3">
      <c r="O12" s="11"/>
      <c r="P12" s="11"/>
      <c r="Q12" s="11"/>
    </row>
  </sheetData>
  <mergeCells count="5">
    <mergeCell ref="J5:P5"/>
    <mergeCell ref="L6:N6"/>
    <mergeCell ref="R3:W3"/>
    <mergeCell ref="R4:W4"/>
    <mergeCell ref="R2: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75BD-7B6A-47D5-AC7F-7EE549BD862C}">
  <sheetPr codeName="Sheet1"/>
  <dimension ref="A1:N1001"/>
  <sheetViews>
    <sheetView workbookViewId="0">
      <selection activeCell="P13" sqref="P13"/>
    </sheetView>
  </sheetViews>
  <sheetFormatPr defaultRowHeight="14.4" x14ac:dyDescent="0.3"/>
  <cols>
    <col min="1" max="1" width="11.77734375" customWidth="1"/>
    <col min="2" max="2" width="11.77734375" style="1" customWidth="1"/>
    <col min="3" max="3" width="12.88671875" style="1" customWidth="1"/>
    <col min="4" max="5" width="11.77734375" customWidth="1"/>
    <col min="6" max="6" width="14.44140625" bestFit="1" customWidth="1"/>
    <col min="7" max="7" width="15.77734375" customWidth="1"/>
    <col min="8" max="8" width="11.77734375" customWidth="1"/>
    <col min="9" max="10" width="11.77734375" style="3" customWidth="1"/>
    <col min="11" max="11" width="14.33203125" style="3" customWidth="1"/>
    <col min="12" max="12" width="11.77734375" style="3" customWidth="1"/>
    <col min="13" max="13" width="11.109375" bestFit="1" customWidth="1"/>
    <col min="14" max="14" width="9.109375" style="1" bestFit="1" customWidth="1"/>
  </cols>
  <sheetData>
    <row r="1" spans="1:13" x14ac:dyDescent="0.3">
      <c r="A1" t="s">
        <v>0</v>
      </c>
      <c r="B1" s="1" t="s">
        <v>1</v>
      </c>
      <c r="C1" s="1" t="s">
        <v>72</v>
      </c>
      <c r="D1" t="s">
        <v>2</v>
      </c>
      <c r="E1" t="s">
        <v>3</v>
      </c>
      <c r="F1" t="s">
        <v>4</v>
      </c>
      <c r="G1" t="s">
        <v>5</v>
      </c>
      <c r="H1" t="s">
        <v>6</v>
      </c>
      <c r="I1" s="3" t="s">
        <v>18</v>
      </c>
      <c r="J1" s="3" t="s">
        <v>7</v>
      </c>
      <c r="K1" s="3" t="s">
        <v>8</v>
      </c>
      <c r="L1" s="3" t="s">
        <v>9</v>
      </c>
    </row>
    <row r="2" spans="1:13" x14ac:dyDescent="0.3">
      <c r="A2" s="2">
        <v>1001</v>
      </c>
      <c r="B2" s="7">
        <v>45573</v>
      </c>
      <c r="C2" s="8" t="s">
        <v>73</v>
      </c>
      <c r="D2" s="2" t="s">
        <v>19</v>
      </c>
      <c r="E2" s="2" t="s">
        <v>20</v>
      </c>
      <c r="F2" s="2" t="s">
        <v>21</v>
      </c>
      <c r="G2" s="2" t="s">
        <v>17</v>
      </c>
      <c r="H2" s="2">
        <v>9</v>
      </c>
      <c r="I2" s="4">
        <v>7451</v>
      </c>
      <c r="J2" s="4">
        <v>5108</v>
      </c>
      <c r="K2" s="4">
        <f>Tablo1[[#This Row],[Quantity]]*Tablo1[[#This Row],[Unit_Price]]</f>
        <v>67059</v>
      </c>
      <c r="L2" s="4">
        <f>Tablo1[[#This Row],[Sales]]-(Tablo1[[#This Row],[Quantity]]*Tablo1[[#This Row],[Unit_Cost]])</f>
        <v>21087</v>
      </c>
    </row>
    <row r="3" spans="1:13" x14ac:dyDescent="0.3">
      <c r="A3" s="2">
        <v>1002</v>
      </c>
      <c r="B3" s="7">
        <v>45488</v>
      </c>
      <c r="C3" s="8" t="s">
        <v>75</v>
      </c>
      <c r="D3" s="2" t="s">
        <v>22</v>
      </c>
      <c r="E3" s="2" t="s">
        <v>23</v>
      </c>
      <c r="F3" s="2" t="s">
        <v>24</v>
      </c>
      <c r="G3" s="2" t="s">
        <v>25</v>
      </c>
      <c r="H3" s="2">
        <v>8</v>
      </c>
      <c r="I3" s="4">
        <v>4296</v>
      </c>
      <c r="J3" s="4">
        <v>2460</v>
      </c>
      <c r="K3" s="4">
        <f>Tablo1[[#This Row],[Quantity]]*Tablo1[[#This Row],[Unit_Price]]</f>
        <v>34368</v>
      </c>
      <c r="L3" s="4">
        <f>Tablo1[[#This Row],[Sales]]-(Tablo1[[#This Row],[Quantity]]*Tablo1[[#This Row],[Unit_Cost]])</f>
        <v>14688</v>
      </c>
      <c r="M3" s="3"/>
    </row>
    <row r="4" spans="1:13" x14ac:dyDescent="0.3">
      <c r="A4" s="2">
        <v>1003</v>
      </c>
      <c r="B4" s="7">
        <v>45329</v>
      </c>
      <c r="C4" s="8" t="s">
        <v>74</v>
      </c>
      <c r="D4" s="2" t="s">
        <v>22</v>
      </c>
      <c r="E4" s="2" t="s">
        <v>26</v>
      </c>
      <c r="F4" s="2" t="s">
        <v>14</v>
      </c>
      <c r="G4" s="2" t="s">
        <v>12</v>
      </c>
      <c r="H4" s="2">
        <v>9</v>
      </c>
      <c r="I4" s="4">
        <v>15990</v>
      </c>
      <c r="J4" s="4">
        <v>12519</v>
      </c>
      <c r="K4" s="4">
        <f>Tablo1[[#This Row],[Quantity]]*Tablo1[[#This Row],[Unit_Price]]</f>
        <v>143910</v>
      </c>
      <c r="L4" s="4">
        <f>Tablo1[[#This Row],[Sales]]-(Tablo1[[#This Row],[Quantity]]*Tablo1[[#This Row],[Unit_Cost]])</f>
        <v>31239</v>
      </c>
      <c r="M4" s="3"/>
    </row>
    <row r="5" spans="1:13" x14ac:dyDescent="0.3">
      <c r="A5" s="2">
        <v>1004</v>
      </c>
      <c r="B5" s="7">
        <v>45627</v>
      </c>
      <c r="C5" s="8" t="s">
        <v>76</v>
      </c>
      <c r="D5" s="2" t="s">
        <v>19</v>
      </c>
      <c r="E5" s="2" t="s">
        <v>23</v>
      </c>
      <c r="F5" s="2" t="s">
        <v>27</v>
      </c>
      <c r="G5" s="2" t="s">
        <v>28</v>
      </c>
      <c r="H5" s="2">
        <v>1</v>
      </c>
      <c r="I5" s="4">
        <v>2220</v>
      </c>
      <c r="J5" s="4">
        <v>1307</v>
      </c>
      <c r="K5" s="4">
        <f>Tablo1[[#This Row],[Quantity]]*Tablo1[[#This Row],[Unit_Price]]</f>
        <v>2220</v>
      </c>
      <c r="L5" s="4">
        <f>Tablo1[[#This Row],[Sales]]-(Tablo1[[#This Row],[Quantity]]*Tablo1[[#This Row],[Unit_Cost]])</f>
        <v>913</v>
      </c>
    </row>
    <row r="6" spans="1:13" x14ac:dyDescent="0.3">
      <c r="A6" s="2">
        <v>1005</v>
      </c>
      <c r="B6" s="7">
        <v>45571</v>
      </c>
      <c r="C6" s="8" t="s">
        <v>75</v>
      </c>
      <c r="D6" s="2" t="s">
        <v>15</v>
      </c>
      <c r="E6" s="2" t="s">
        <v>26</v>
      </c>
      <c r="F6" s="2" t="s">
        <v>29</v>
      </c>
      <c r="G6" s="2" t="s">
        <v>25</v>
      </c>
      <c r="H6" s="2">
        <v>8</v>
      </c>
      <c r="I6" s="4">
        <v>1461</v>
      </c>
      <c r="J6" s="4">
        <v>983</v>
      </c>
      <c r="K6" s="4">
        <f>Tablo1[[#This Row],[Quantity]]*Tablo1[[#This Row],[Unit_Price]]</f>
        <v>11688</v>
      </c>
      <c r="L6" s="4">
        <f>Tablo1[[#This Row],[Sales]]-(Tablo1[[#This Row],[Quantity]]*Tablo1[[#This Row],[Unit_Cost]])</f>
        <v>3824</v>
      </c>
    </row>
    <row r="7" spans="1:13" x14ac:dyDescent="0.3">
      <c r="A7" s="2">
        <v>1006</v>
      </c>
      <c r="B7" s="7">
        <v>45610</v>
      </c>
      <c r="C7" s="8" t="s">
        <v>73</v>
      </c>
      <c r="D7" s="2" t="s">
        <v>10</v>
      </c>
      <c r="E7" s="2" t="s">
        <v>30</v>
      </c>
      <c r="F7" s="2" t="s">
        <v>31</v>
      </c>
      <c r="G7" s="2" t="s">
        <v>17</v>
      </c>
      <c r="H7" s="2">
        <v>10</v>
      </c>
      <c r="I7" s="4">
        <v>6035</v>
      </c>
      <c r="J7" s="4">
        <v>3088</v>
      </c>
      <c r="K7" s="4">
        <f>Tablo1[[#This Row],[Quantity]]*Tablo1[[#This Row],[Unit_Price]]</f>
        <v>60350</v>
      </c>
      <c r="L7" s="4">
        <f>Tablo1[[#This Row],[Sales]]-(Tablo1[[#This Row],[Quantity]]*Tablo1[[#This Row],[Unit_Cost]])</f>
        <v>29470</v>
      </c>
    </row>
    <row r="8" spans="1:13" x14ac:dyDescent="0.3">
      <c r="A8" s="2">
        <v>1007</v>
      </c>
      <c r="B8" s="7">
        <v>45514</v>
      </c>
      <c r="C8" s="8" t="s">
        <v>76</v>
      </c>
      <c r="D8" s="2" t="s">
        <v>32</v>
      </c>
      <c r="E8" s="2" t="s">
        <v>23</v>
      </c>
      <c r="F8" s="2" t="s">
        <v>33</v>
      </c>
      <c r="G8" s="2" t="s">
        <v>34</v>
      </c>
      <c r="H8" s="2">
        <v>6</v>
      </c>
      <c r="I8" s="4">
        <v>6177</v>
      </c>
      <c r="J8" s="4">
        <v>4663</v>
      </c>
      <c r="K8" s="4">
        <f>Tablo1[[#This Row],[Quantity]]*Tablo1[[#This Row],[Unit_Price]]</f>
        <v>37062</v>
      </c>
      <c r="L8" s="4">
        <f>Tablo1[[#This Row],[Sales]]-(Tablo1[[#This Row],[Quantity]]*Tablo1[[#This Row],[Unit_Cost]])</f>
        <v>9084</v>
      </c>
    </row>
    <row r="9" spans="1:13" x14ac:dyDescent="0.3">
      <c r="A9" s="2">
        <v>1008</v>
      </c>
      <c r="B9" s="7">
        <v>45467</v>
      </c>
      <c r="C9" s="8" t="s">
        <v>74</v>
      </c>
      <c r="D9" s="2" t="s">
        <v>13</v>
      </c>
      <c r="E9" s="2" t="s">
        <v>30</v>
      </c>
      <c r="F9" s="2" t="s">
        <v>27</v>
      </c>
      <c r="G9" s="2" t="s">
        <v>28</v>
      </c>
      <c r="H9" s="2">
        <v>1</v>
      </c>
      <c r="I9" s="4">
        <v>2177</v>
      </c>
      <c r="J9" s="4">
        <v>1106</v>
      </c>
      <c r="K9" s="4">
        <f>Tablo1[[#This Row],[Quantity]]*Tablo1[[#This Row],[Unit_Price]]</f>
        <v>2177</v>
      </c>
      <c r="L9" s="4">
        <f>Tablo1[[#This Row],[Sales]]-(Tablo1[[#This Row],[Quantity]]*Tablo1[[#This Row],[Unit_Cost]])</f>
        <v>1071</v>
      </c>
    </row>
    <row r="10" spans="1:13" x14ac:dyDescent="0.3">
      <c r="A10" s="2">
        <v>1009</v>
      </c>
      <c r="B10" s="7">
        <v>45375</v>
      </c>
      <c r="C10" s="8" t="s">
        <v>77</v>
      </c>
      <c r="D10" s="2" t="s">
        <v>35</v>
      </c>
      <c r="E10" s="2" t="s">
        <v>30</v>
      </c>
      <c r="F10" s="2" t="s">
        <v>36</v>
      </c>
      <c r="G10" s="2" t="s">
        <v>34</v>
      </c>
      <c r="H10" s="2">
        <v>7</v>
      </c>
      <c r="I10" s="4">
        <v>5079</v>
      </c>
      <c r="J10" s="4">
        <v>3089</v>
      </c>
      <c r="K10" s="4">
        <f>Tablo1[[#This Row],[Quantity]]*Tablo1[[#This Row],[Unit_Price]]</f>
        <v>35553</v>
      </c>
      <c r="L10" s="4">
        <f>Tablo1[[#This Row],[Sales]]-(Tablo1[[#This Row],[Quantity]]*Tablo1[[#This Row],[Unit_Cost]])</f>
        <v>13930</v>
      </c>
    </row>
    <row r="11" spans="1:13" x14ac:dyDescent="0.3">
      <c r="A11" s="2">
        <v>1010</v>
      </c>
      <c r="B11" s="7">
        <v>45443</v>
      </c>
      <c r="C11" s="8" t="s">
        <v>75</v>
      </c>
      <c r="D11" s="2" t="s">
        <v>13</v>
      </c>
      <c r="E11" s="2" t="s">
        <v>26</v>
      </c>
      <c r="F11" s="2" t="s">
        <v>37</v>
      </c>
      <c r="G11" s="2" t="s">
        <v>28</v>
      </c>
      <c r="H11" s="2">
        <v>1</v>
      </c>
      <c r="I11" s="4">
        <v>2976</v>
      </c>
      <c r="J11" s="4">
        <v>2252</v>
      </c>
      <c r="K11" s="4">
        <f>Tablo1[[#This Row],[Quantity]]*Tablo1[[#This Row],[Unit_Price]]</f>
        <v>2976</v>
      </c>
      <c r="L11" s="4">
        <f>Tablo1[[#This Row],[Sales]]-(Tablo1[[#This Row],[Quantity]]*Tablo1[[#This Row],[Unit_Cost]])</f>
        <v>724</v>
      </c>
    </row>
    <row r="12" spans="1:13" x14ac:dyDescent="0.3">
      <c r="A12" s="2">
        <v>1011</v>
      </c>
      <c r="B12" s="7">
        <v>45649</v>
      </c>
      <c r="C12" s="8" t="s">
        <v>76</v>
      </c>
      <c r="D12" s="2" t="s">
        <v>10</v>
      </c>
      <c r="E12" s="2" t="s">
        <v>26</v>
      </c>
      <c r="F12" s="2" t="s">
        <v>31</v>
      </c>
      <c r="G12" s="2" t="s">
        <v>17</v>
      </c>
      <c r="H12" s="2">
        <v>9</v>
      </c>
      <c r="I12" s="4">
        <v>11555</v>
      </c>
      <c r="J12" s="4">
        <v>7420</v>
      </c>
      <c r="K12" s="4">
        <f>Tablo1[[#This Row],[Quantity]]*Tablo1[[#This Row],[Unit_Price]]</f>
        <v>103995</v>
      </c>
      <c r="L12" s="4">
        <f>Tablo1[[#This Row],[Sales]]-(Tablo1[[#This Row],[Quantity]]*Tablo1[[#This Row],[Unit_Cost]])</f>
        <v>37215</v>
      </c>
    </row>
    <row r="13" spans="1:13" x14ac:dyDescent="0.3">
      <c r="A13" s="2">
        <v>1012</v>
      </c>
      <c r="B13" s="7">
        <v>45522</v>
      </c>
      <c r="C13" s="8" t="s">
        <v>75</v>
      </c>
      <c r="D13" s="2" t="s">
        <v>35</v>
      </c>
      <c r="E13" s="2" t="s">
        <v>30</v>
      </c>
      <c r="F13" s="2" t="s">
        <v>37</v>
      </c>
      <c r="G13" s="2" t="s">
        <v>28</v>
      </c>
      <c r="H13" s="2">
        <v>5</v>
      </c>
      <c r="I13" s="4">
        <v>865</v>
      </c>
      <c r="J13" s="4">
        <v>505</v>
      </c>
      <c r="K13" s="4">
        <f>Tablo1[[#This Row],[Quantity]]*Tablo1[[#This Row],[Unit_Price]]</f>
        <v>4325</v>
      </c>
      <c r="L13" s="4">
        <f>Tablo1[[#This Row],[Sales]]-(Tablo1[[#This Row],[Quantity]]*Tablo1[[#This Row],[Unit_Cost]])</f>
        <v>1800</v>
      </c>
    </row>
    <row r="14" spans="1:13" x14ac:dyDescent="0.3">
      <c r="A14" s="2">
        <v>1013</v>
      </c>
      <c r="B14" s="7">
        <v>45580</v>
      </c>
      <c r="C14" s="8" t="s">
        <v>74</v>
      </c>
      <c r="D14" s="2" t="s">
        <v>19</v>
      </c>
      <c r="E14" s="2" t="s">
        <v>38</v>
      </c>
      <c r="F14" s="2" t="s">
        <v>39</v>
      </c>
      <c r="G14" s="2" t="s">
        <v>28</v>
      </c>
      <c r="H14" s="2">
        <v>3</v>
      </c>
      <c r="I14" s="4">
        <v>2485</v>
      </c>
      <c r="J14" s="4">
        <v>1458</v>
      </c>
      <c r="K14" s="4">
        <f>Tablo1[[#This Row],[Quantity]]*Tablo1[[#This Row],[Unit_Price]]</f>
        <v>7455</v>
      </c>
      <c r="L14" s="4">
        <f>Tablo1[[#This Row],[Sales]]-(Tablo1[[#This Row],[Quantity]]*Tablo1[[#This Row],[Unit_Cost]])</f>
        <v>3081</v>
      </c>
    </row>
    <row r="15" spans="1:13" x14ac:dyDescent="0.3">
      <c r="A15" s="2">
        <v>1014</v>
      </c>
      <c r="B15" s="7">
        <v>45391</v>
      </c>
      <c r="C15" s="8" t="s">
        <v>73</v>
      </c>
      <c r="D15" s="2" t="s">
        <v>32</v>
      </c>
      <c r="E15" s="2" t="s">
        <v>26</v>
      </c>
      <c r="F15" s="2" t="s">
        <v>36</v>
      </c>
      <c r="G15" s="2" t="s">
        <v>34</v>
      </c>
      <c r="H15" s="2">
        <v>3</v>
      </c>
      <c r="I15" s="4">
        <v>2731</v>
      </c>
      <c r="J15" s="4">
        <v>1447</v>
      </c>
      <c r="K15" s="4">
        <f>Tablo1[[#This Row],[Quantity]]*Tablo1[[#This Row],[Unit_Price]]</f>
        <v>8193</v>
      </c>
      <c r="L15" s="4">
        <f>Tablo1[[#This Row],[Sales]]-(Tablo1[[#This Row],[Quantity]]*Tablo1[[#This Row],[Unit_Cost]])</f>
        <v>3852</v>
      </c>
    </row>
    <row r="16" spans="1:13" x14ac:dyDescent="0.3">
      <c r="A16" s="2">
        <v>1015</v>
      </c>
      <c r="B16" s="7">
        <v>45365</v>
      </c>
      <c r="C16" s="8" t="s">
        <v>73</v>
      </c>
      <c r="D16" s="2" t="s">
        <v>22</v>
      </c>
      <c r="E16" s="2" t="s">
        <v>20</v>
      </c>
      <c r="F16" s="2" t="s">
        <v>36</v>
      </c>
      <c r="G16" s="2" t="s">
        <v>34</v>
      </c>
      <c r="H16" s="2">
        <v>1</v>
      </c>
      <c r="I16" s="4">
        <v>5054</v>
      </c>
      <c r="J16" s="4">
        <v>3204</v>
      </c>
      <c r="K16" s="4">
        <f>Tablo1[[#This Row],[Quantity]]*Tablo1[[#This Row],[Unit_Price]]</f>
        <v>5054</v>
      </c>
      <c r="L16" s="4">
        <f>Tablo1[[#This Row],[Sales]]-(Tablo1[[#This Row],[Quantity]]*Tablo1[[#This Row],[Unit_Cost]])</f>
        <v>1850</v>
      </c>
    </row>
    <row r="17" spans="1:12" x14ac:dyDescent="0.3">
      <c r="A17" s="2">
        <v>1016</v>
      </c>
      <c r="B17" s="7">
        <v>45468</v>
      </c>
      <c r="C17" s="8" t="s">
        <v>75</v>
      </c>
      <c r="D17" s="2" t="s">
        <v>32</v>
      </c>
      <c r="E17" s="2" t="s">
        <v>26</v>
      </c>
      <c r="F17" s="2" t="s">
        <v>40</v>
      </c>
      <c r="G17" s="2" t="s">
        <v>25</v>
      </c>
      <c r="H17" s="2">
        <v>5</v>
      </c>
      <c r="I17" s="4">
        <v>2947</v>
      </c>
      <c r="J17" s="4">
        <v>1847</v>
      </c>
      <c r="K17" s="4">
        <f>Tablo1[[#This Row],[Quantity]]*Tablo1[[#This Row],[Unit_Price]]</f>
        <v>14735</v>
      </c>
      <c r="L17" s="4">
        <f>Tablo1[[#This Row],[Sales]]-(Tablo1[[#This Row],[Quantity]]*Tablo1[[#This Row],[Unit_Cost]])</f>
        <v>5500</v>
      </c>
    </row>
    <row r="18" spans="1:12" x14ac:dyDescent="0.3">
      <c r="A18" s="2">
        <v>1017</v>
      </c>
      <c r="B18" s="7">
        <v>45314</v>
      </c>
      <c r="C18" s="8" t="s">
        <v>74</v>
      </c>
      <c r="D18" s="2" t="s">
        <v>41</v>
      </c>
      <c r="E18" s="2" t="s">
        <v>38</v>
      </c>
      <c r="F18" s="2" t="s">
        <v>42</v>
      </c>
      <c r="G18" s="2" t="s">
        <v>12</v>
      </c>
      <c r="H18" s="2">
        <v>4</v>
      </c>
      <c r="I18" s="4">
        <v>8690</v>
      </c>
      <c r="J18" s="4">
        <v>5179</v>
      </c>
      <c r="K18" s="4">
        <f>Tablo1[[#This Row],[Quantity]]*Tablo1[[#This Row],[Unit_Price]]</f>
        <v>34760</v>
      </c>
      <c r="L18" s="4">
        <f>Tablo1[[#This Row],[Sales]]-(Tablo1[[#This Row],[Quantity]]*Tablo1[[#This Row],[Unit_Cost]])</f>
        <v>14044</v>
      </c>
    </row>
    <row r="19" spans="1:12" x14ac:dyDescent="0.3">
      <c r="A19" s="2">
        <v>1018</v>
      </c>
      <c r="B19" s="7">
        <v>45550</v>
      </c>
      <c r="C19" s="8" t="s">
        <v>76</v>
      </c>
      <c r="D19" s="2" t="s">
        <v>43</v>
      </c>
      <c r="E19" s="2" t="s">
        <v>30</v>
      </c>
      <c r="F19" s="2" t="s">
        <v>42</v>
      </c>
      <c r="G19" s="2" t="s">
        <v>12</v>
      </c>
      <c r="H19" s="2">
        <v>3</v>
      </c>
      <c r="I19" s="4">
        <v>13929</v>
      </c>
      <c r="J19" s="4">
        <v>10431</v>
      </c>
      <c r="K19" s="4">
        <f>Tablo1[[#This Row],[Quantity]]*Tablo1[[#This Row],[Unit_Price]]</f>
        <v>41787</v>
      </c>
      <c r="L19" s="4">
        <f>Tablo1[[#This Row],[Sales]]-(Tablo1[[#This Row],[Quantity]]*Tablo1[[#This Row],[Unit_Cost]])</f>
        <v>10494</v>
      </c>
    </row>
    <row r="20" spans="1:12" x14ac:dyDescent="0.3">
      <c r="A20" s="2">
        <v>1019</v>
      </c>
      <c r="B20" s="7">
        <v>45598</v>
      </c>
      <c r="C20" s="8" t="s">
        <v>75</v>
      </c>
      <c r="D20" s="2" t="s">
        <v>15</v>
      </c>
      <c r="E20" s="2" t="s">
        <v>20</v>
      </c>
      <c r="F20" s="2" t="s">
        <v>36</v>
      </c>
      <c r="G20" s="2" t="s">
        <v>34</v>
      </c>
      <c r="H20" s="2">
        <v>9</v>
      </c>
      <c r="I20" s="4">
        <v>4447</v>
      </c>
      <c r="J20" s="4">
        <v>2665</v>
      </c>
      <c r="K20" s="4">
        <f>Tablo1[[#This Row],[Quantity]]*Tablo1[[#This Row],[Unit_Price]]</f>
        <v>40023</v>
      </c>
      <c r="L20" s="4">
        <f>Tablo1[[#This Row],[Sales]]-(Tablo1[[#This Row],[Quantity]]*Tablo1[[#This Row],[Unit_Cost]])</f>
        <v>16038</v>
      </c>
    </row>
    <row r="21" spans="1:12" x14ac:dyDescent="0.3">
      <c r="A21" s="2">
        <v>1020</v>
      </c>
      <c r="B21" s="7">
        <v>45513</v>
      </c>
      <c r="C21" s="8" t="s">
        <v>73</v>
      </c>
      <c r="D21" s="2" t="s">
        <v>44</v>
      </c>
      <c r="E21" s="2" t="s">
        <v>23</v>
      </c>
      <c r="F21" s="2" t="s">
        <v>45</v>
      </c>
      <c r="G21" s="2" t="s">
        <v>34</v>
      </c>
      <c r="H21" s="2">
        <v>4</v>
      </c>
      <c r="I21" s="4">
        <v>1747</v>
      </c>
      <c r="J21" s="4">
        <v>1031</v>
      </c>
      <c r="K21" s="4">
        <f>Tablo1[[#This Row],[Quantity]]*Tablo1[[#This Row],[Unit_Price]]</f>
        <v>6988</v>
      </c>
      <c r="L21" s="4">
        <f>Tablo1[[#This Row],[Sales]]-(Tablo1[[#This Row],[Quantity]]*Tablo1[[#This Row],[Unit_Cost]])</f>
        <v>2864</v>
      </c>
    </row>
    <row r="22" spans="1:12" x14ac:dyDescent="0.3">
      <c r="A22" s="2">
        <v>1021</v>
      </c>
      <c r="B22" s="7">
        <v>45530</v>
      </c>
      <c r="C22" s="8" t="s">
        <v>76</v>
      </c>
      <c r="D22" s="2" t="s">
        <v>41</v>
      </c>
      <c r="E22" s="2" t="s">
        <v>30</v>
      </c>
      <c r="F22" s="2" t="s">
        <v>24</v>
      </c>
      <c r="G22" s="2" t="s">
        <v>25</v>
      </c>
      <c r="H22" s="2">
        <v>4</v>
      </c>
      <c r="I22" s="4">
        <v>3779</v>
      </c>
      <c r="J22" s="4">
        <v>2213</v>
      </c>
      <c r="K22" s="4">
        <f>Tablo1[[#This Row],[Quantity]]*Tablo1[[#This Row],[Unit_Price]]</f>
        <v>15116</v>
      </c>
      <c r="L22" s="4">
        <f>Tablo1[[#This Row],[Sales]]-(Tablo1[[#This Row],[Quantity]]*Tablo1[[#This Row],[Unit_Cost]])</f>
        <v>6264</v>
      </c>
    </row>
    <row r="23" spans="1:12" x14ac:dyDescent="0.3">
      <c r="A23" s="2">
        <v>1022</v>
      </c>
      <c r="B23" s="7">
        <v>45427</v>
      </c>
      <c r="C23" s="8" t="s">
        <v>74</v>
      </c>
      <c r="D23" s="2" t="s">
        <v>44</v>
      </c>
      <c r="E23" s="2" t="s">
        <v>30</v>
      </c>
      <c r="F23" s="2" t="s">
        <v>46</v>
      </c>
      <c r="G23" s="2" t="s">
        <v>17</v>
      </c>
      <c r="H23" s="2">
        <v>9</v>
      </c>
      <c r="I23" s="4">
        <v>4768</v>
      </c>
      <c r="J23" s="4">
        <v>2393</v>
      </c>
      <c r="K23" s="4">
        <f>Tablo1[[#This Row],[Quantity]]*Tablo1[[#This Row],[Unit_Price]]</f>
        <v>42912</v>
      </c>
      <c r="L23" s="4">
        <f>Tablo1[[#This Row],[Sales]]-(Tablo1[[#This Row],[Quantity]]*Tablo1[[#This Row],[Unit_Cost]])</f>
        <v>21375</v>
      </c>
    </row>
    <row r="24" spans="1:12" x14ac:dyDescent="0.3">
      <c r="A24" s="2">
        <v>1023</v>
      </c>
      <c r="B24" s="7">
        <v>45537</v>
      </c>
      <c r="C24" s="8" t="s">
        <v>77</v>
      </c>
      <c r="D24" s="2" t="s">
        <v>35</v>
      </c>
      <c r="E24" s="2" t="s">
        <v>26</v>
      </c>
      <c r="F24" s="2" t="s">
        <v>27</v>
      </c>
      <c r="G24" s="2" t="s">
        <v>28</v>
      </c>
      <c r="H24" s="2">
        <v>1</v>
      </c>
      <c r="I24" s="4">
        <v>356</v>
      </c>
      <c r="J24" s="4">
        <v>266</v>
      </c>
      <c r="K24" s="4">
        <f>Tablo1[[#This Row],[Quantity]]*Tablo1[[#This Row],[Unit_Price]]</f>
        <v>356</v>
      </c>
      <c r="L24" s="4">
        <f>Tablo1[[#This Row],[Sales]]-(Tablo1[[#This Row],[Quantity]]*Tablo1[[#This Row],[Unit_Cost]])</f>
        <v>90</v>
      </c>
    </row>
    <row r="25" spans="1:12" x14ac:dyDescent="0.3">
      <c r="A25" s="2">
        <v>1024</v>
      </c>
      <c r="B25" s="7">
        <v>45628</v>
      </c>
      <c r="C25" s="8" t="s">
        <v>75</v>
      </c>
      <c r="D25" s="2" t="s">
        <v>13</v>
      </c>
      <c r="E25" s="2" t="s">
        <v>23</v>
      </c>
      <c r="F25" s="2" t="s">
        <v>24</v>
      </c>
      <c r="G25" s="2" t="s">
        <v>25</v>
      </c>
      <c r="H25" s="2">
        <v>3</v>
      </c>
      <c r="I25" s="4">
        <v>3491</v>
      </c>
      <c r="J25" s="4">
        <v>2490</v>
      </c>
      <c r="K25" s="4">
        <f>Tablo1[[#This Row],[Quantity]]*Tablo1[[#This Row],[Unit_Price]]</f>
        <v>10473</v>
      </c>
      <c r="L25" s="4">
        <f>Tablo1[[#This Row],[Sales]]-(Tablo1[[#This Row],[Quantity]]*Tablo1[[#This Row],[Unit_Cost]])</f>
        <v>3003</v>
      </c>
    </row>
    <row r="26" spans="1:12" x14ac:dyDescent="0.3">
      <c r="A26" s="2">
        <v>1025</v>
      </c>
      <c r="B26" s="7">
        <v>45544</v>
      </c>
      <c r="C26" s="8" t="s">
        <v>76</v>
      </c>
      <c r="D26" s="2" t="s">
        <v>41</v>
      </c>
      <c r="E26" s="2" t="s">
        <v>38</v>
      </c>
      <c r="F26" s="2" t="s">
        <v>47</v>
      </c>
      <c r="G26" s="2" t="s">
        <v>25</v>
      </c>
      <c r="H26" s="2">
        <v>3</v>
      </c>
      <c r="I26" s="4">
        <v>2769</v>
      </c>
      <c r="J26" s="4">
        <v>2105</v>
      </c>
      <c r="K26" s="4">
        <f>Tablo1[[#This Row],[Quantity]]*Tablo1[[#This Row],[Unit_Price]]</f>
        <v>8307</v>
      </c>
      <c r="L26" s="4">
        <f>Tablo1[[#This Row],[Sales]]-(Tablo1[[#This Row],[Quantity]]*Tablo1[[#This Row],[Unit_Cost]])</f>
        <v>1992</v>
      </c>
    </row>
    <row r="27" spans="1:12" x14ac:dyDescent="0.3">
      <c r="A27" s="2">
        <v>1026</v>
      </c>
      <c r="B27" s="7">
        <v>45362</v>
      </c>
      <c r="C27" s="8" t="s">
        <v>75</v>
      </c>
      <c r="D27" s="2" t="s">
        <v>10</v>
      </c>
      <c r="E27" s="2" t="s">
        <v>20</v>
      </c>
      <c r="F27" s="2" t="s">
        <v>37</v>
      </c>
      <c r="G27" s="2" t="s">
        <v>28</v>
      </c>
      <c r="H27" s="2">
        <v>8</v>
      </c>
      <c r="I27" s="4">
        <v>3630</v>
      </c>
      <c r="J27" s="4">
        <v>2014</v>
      </c>
      <c r="K27" s="4">
        <f>Tablo1[[#This Row],[Quantity]]*Tablo1[[#This Row],[Unit_Price]]</f>
        <v>29040</v>
      </c>
      <c r="L27" s="4">
        <f>Tablo1[[#This Row],[Sales]]-(Tablo1[[#This Row],[Quantity]]*Tablo1[[#This Row],[Unit_Cost]])</f>
        <v>12928</v>
      </c>
    </row>
    <row r="28" spans="1:12" x14ac:dyDescent="0.3">
      <c r="A28" s="2">
        <v>1027</v>
      </c>
      <c r="B28" s="7">
        <v>45606</v>
      </c>
      <c r="C28" s="8" t="s">
        <v>74</v>
      </c>
      <c r="D28" s="2" t="s">
        <v>10</v>
      </c>
      <c r="E28" s="2" t="s">
        <v>23</v>
      </c>
      <c r="F28" s="2" t="s">
        <v>37</v>
      </c>
      <c r="G28" s="2" t="s">
        <v>28</v>
      </c>
      <c r="H28" s="2">
        <v>5</v>
      </c>
      <c r="I28" s="4">
        <v>2109</v>
      </c>
      <c r="J28" s="4">
        <v>1082</v>
      </c>
      <c r="K28" s="4">
        <f>Tablo1[[#This Row],[Quantity]]*Tablo1[[#This Row],[Unit_Price]]</f>
        <v>10545</v>
      </c>
      <c r="L28" s="4">
        <f>Tablo1[[#This Row],[Sales]]-(Tablo1[[#This Row],[Quantity]]*Tablo1[[#This Row],[Unit_Cost]])</f>
        <v>5135</v>
      </c>
    </row>
    <row r="29" spans="1:12" x14ac:dyDescent="0.3">
      <c r="A29" s="2">
        <v>1028</v>
      </c>
      <c r="B29" s="7">
        <v>45409</v>
      </c>
      <c r="C29" s="8" t="s">
        <v>73</v>
      </c>
      <c r="D29" s="2" t="s">
        <v>15</v>
      </c>
      <c r="E29" s="2" t="s">
        <v>23</v>
      </c>
      <c r="F29" s="2" t="s">
        <v>42</v>
      </c>
      <c r="G29" s="2" t="s">
        <v>12</v>
      </c>
      <c r="H29" s="2">
        <v>1</v>
      </c>
      <c r="I29" s="4">
        <v>10025</v>
      </c>
      <c r="J29" s="4">
        <v>7531</v>
      </c>
      <c r="K29" s="4">
        <f>Tablo1[[#This Row],[Quantity]]*Tablo1[[#This Row],[Unit_Price]]</f>
        <v>10025</v>
      </c>
      <c r="L29" s="4">
        <f>Tablo1[[#This Row],[Sales]]-(Tablo1[[#This Row],[Quantity]]*Tablo1[[#This Row],[Unit_Cost]])</f>
        <v>2494</v>
      </c>
    </row>
    <row r="30" spans="1:12" x14ac:dyDescent="0.3">
      <c r="A30" s="2">
        <v>1029</v>
      </c>
      <c r="B30" s="7">
        <v>45577</v>
      </c>
      <c r="C30" s="8" t="s">
        <v>73</v>
      </c>
      <c r="D30" s="2" t="s">
        <v>13</v>
      </c>
      <c r="E30" s="2" t="s">
        <v>26</v>
      </c>
      <c r="F30" s="2" t="s">
        <v>29</v>
      </c>
      <c r="G30" s="2" t="s">
        <v>25</v>
      </c>
      <c r="H30" s="2">
        <v>2</v>
      </c>
      <c r="I30" s="4">
        <v>5197</v>
      </c>
      <c r="J30" s="4">
        <v>3866</v>
      </c>
      <c r="K30" s="4">
        <f>Tablo1[[#This Row],[Quantity]]*Tablo1[[#This Row],[Unit_Price]]</f>
        <v>10394</v>
      </c>
      <c r="L30" s="4">
        <f>Tablo1[[#This Row],[Sales]]-(Tablo1[[#This Row],[Quantity]]*Tablo1[[#This Row],[Unit_Cost]])</f>
        <v>2662</v>
      </c>
    </row>
    <row r="31" spans="1:12" x14ac:dyDescent="0.3">
      <c r="A31" s="2">
        <v>1030</v>
      </c>
      <c r="B31" s="7">
        <v>45537</v>
      </c>
      <c r="C31" s="8" t="s">
        <v>75</v>
      </c>
      <c r="D31" s="2" t="s">
        <v>10</v>
      </c>
      <c r="E31" s="2" t="s">
        <v>20</v>
      </c>
      <c r="F31" s="2" t="s">
        <v>24</v>
      </c>
      <c r="G31" s="2" t="s">
        <v>25</v>
      </c>
      <c r="H31" s="2">
        <v>2</v>
      </c>
      <c r="I31" s="4">
        <v>5388</v>
      </c>
      <c r="J31" s="4">
        <v>3299</v>
      </c>
      <c r="K31" s="4">
        <f>Tablo1[[#This Row],[Quantity]]*Tablo1[[#This Row],[Unit_Price]]</f>
        <v>10776</v>
      </c>
      <c r="L31" s="4">
        <f>Tablo1[[#This Row],[Sales]]-(Tablo1[[#This Row],[Quantity]]*Tablo1[[#This Row],[Unit_Cost]])</f>
        <v>4178</v>
      </c>
    </row>
    <row r="32" spans="1:12" x14ac:dyDescent="0.3">
      <c r="A32" s="2">
        <v>1031</v>
      </c>
      <c r="B32" s="7">
        <v>45636</v>
      </c>
      <c r="C32" s="8" t="s">
        <v>74</v>
      </c>
      <c r="D32" s="2" t="s">
        <v>13</v>
      </c>
      <c r="E32" s="2" t="s">
        <v>20</v>
      </c>
      <c r="F32" s="2" t="s">
        <v>11</v>
      </c>
      <c r="G32" s="2" t="s">
        <v>12</v>
      </c>
      <c r="H32" s="2">
        <v>9</v>
      </c>
      <c r="I32" s="4">
        <v>18667</v>
      </c>
      <c r="J32" s="4">
        <v>12592</v>
      </c>
      <c r="K32" s="4">
        <f>Tablo1[[#This Row],[Quantity]]*Tablo1[[#This Row],[Unit_Price]]</f>
        <v>168003</v>
      </c>
      <c r="L32" s="4">
        <f>Tablo1[[#This Row],[Sales]]-(Tablo1[[#This Row],[Quantity]]*Tablo1[[#This Row],[Unit_Cost]])</f>
        <v>54675</v>
      </c>
    </row>
    <row r="33" spans="1:12" x14ac:dyDescent="0.3">
      <c r="A33" s="2">
        <v>1032</v>
      </c>
      <c r="B33" s="7">
        <v>45396</v>
      </c>
      <c r="C33" s="8" t="s">
        <v>76</v>
      </c>
      <c r="D33" s="2" t="s">
        <v>19</v>
      </c>
      <c r="E33" s="2" t="s">
        <v>20</v>
      </c>
      <c r="F33" s="2" t="s">
        <v>29</v>
      </c>
      <c r="G33" s="2" t="s">
        <v>25</v>
      </c>
      <c r="H33" s="2">
        <v>3</v>
      </c>
      <c r="I33" s="4">
        <v>7964</v>
      </c>
      <c r="J33" s="4">
        <v>4454</v>
      </c>
      <c r="K33" s="4">
        <f>Tablo1[[#This Row],[Quantity]]*Tablo1[[#This Row],[Unit_Price]]</f>
        <v>23892</v>
      </c>
      <c r="L33" s="4">
        <f>Tablo1[[#This Row],[Sales]]-(Tablo1[[#This Row],[Quantity]]*Tablo1[[#This Row],[Unit_Cost]])</f>
        <v>10530</v>
      </c>
    </row>
    <row r="34" spans="1:12" x14ac:dyDescent="0.3">
      <c r="A34" s="2">
        <v>1033</v>
      </c>
      <c r="B34" s="7">
        <v>45393</v>
      </c>
      <c r="C34" s="8" t="s">
        <v>75</v>
      </c>
      <c r="D34" s="2" t="s">
        <v>44</v>
      </c>
      <c r="E34" s="2" t="s">
        <v>20</v>
      </c>
      <c r="F34" s="2" t="s">
        <v>48</v>
      </c>
      <c r="G34" s="2" t="s">
        <v>34</v>
      </c>
      <c r="H34" s="2">
        <v>10</v>
      </c>
      <c r="I34" s="4">
        <v>2918</v>
      </c>
      <c r="J34" s="4">
        <v>1540</v>
      </c>
      <c r="K34" s="4">
        <f>Tablo1[[#This Row],[Quantity]]*Tablo1[[#This Row],[Unit_Price]]</f>
        <v>29180</v>
      </c>
      <c r="L34" s="4">
        <f>Tablo1[[#This Row],[Sales]]-(Tablo1[[#This Row],[Quantity]]*Tablo1[[#This Row],[Unit_Cost]])</f>
        <v>13780</v>
      </c>
    </row>
    <row r="35" spans="1:12" x14ac:dyDescent="0.3">
      <c r="A35" s="2">
        <v>1034</v>
      </c>
      <c r="B35" s="7">
        <v>45442</v>
      </c>
      <c r="C35" s="8" t="s">
        <v>73</v>
      </c>
      <c r="D35" s="2" t="s">
        <v>44</v>
      </c>
      <c r="E35" s="2" t="s">
        <v>23</v>
      </c>
      <c r="F35" s="2" t="s">
        <v>36</v>
      </c>
      <c r="G35" s="2" t="s">
        <v>34</v>
      </c>
      <c r="H35" s="2">
        <v>9</v>
      </c>
      <c r="I35" s="4">
        <v>4768</v>
      </c>
      <c r="J35" s="4">
        <v>3595</v>
      </c>
      <c r="K35" s="4">
        <f>Tablo1[[#This Row],[Quantity]]*Tablo1[[#This Row],[Unit_Price]]</f>
        <v>42912</v>
      </c>
      <c r="L35" s="4">
        <f>Tablo1[[#This Row],[Sales]]-(Tablo1[[#This Row],[Quantity]]*Tablo1[[#This Row],[Unit_Cost]])</f>
        <v>10557</v>
      </c>
    </row>
    <row r="36" spans="1:12" x14ac:dyDescent="0.3">
      <c r="A36" s="2">
        <v>1035</v>
      </c>
      <c r="B36" s="7">
        <v>45634</v>
      </c>
      <c r="C36" s="8" t="s">
        <v>76</v>
      </c>
      <c r="D36" s="2" t="s">
        <v>43</v>
      </c>
      <c r="E36" s="2" t="s">
        <v>26</v>
      </c>
      <c r="F36" s="2" t="s">
        <v>49</v>
      </c>
      <c r="G36" s="2" t="s">
        <v>12</v>
      </c>
      <c r="H36" s="2">
        <v>2</v>
      </c>
      <c r="I36" s="4">
        <v>17181</v>
      </c>
      <c r="J36" s="4">
        <v>13578</v>
      </c>
      <c r="K36" s="4">
        <f>Tablo1[[#This Row],[Quantity]]*Tablo1[[#This Row],[Unit_Price]]</f>
        <v>34362</v>
      </c>
      <c r="L36" s="4">
        <f>Tablo1[[#This Row],[Sales]]-(Tablo1[[#This Row],[Quantity]]*Tablo1[[#This Row],[Unit_Cost]])</f>
        <v>7206</v>
      </c>
    </row>
    <row r="37" spans="1:12" x14ac:dyDescent="0.3">
      <c r="A37" s="2">
        <v>1036</v>
      </c>
      <c r="B37" s="7">
        <v>45626</v>
      </c>
      <c r="C37" s="8" t="s">
        <v>74</v>
      </c>
      <c r="D37" s="2" t="s">
        <v>41</v>
      </c>
      <c r="E37" s="2" t="s">
        <v>38</v>
      </c>
      <c r="F37" s="2" t="s">
        <v>39</v>
      </c>
      <c r="G37" s="2" t="s">
        <v>28</v>
      </c>
      <c r="H37" s="2">
        <v>2</v>
      </c>
      <c r="I37" s="4">
        <v>1036</v>
      </c>
      <c r="J37" s="4">
        <v>711</v>
      </c>
      <c r="K37" s="4">
        <f>Tablo1[[#This Row],[Quantity]]*Tablo1[[#This Row],[Unit_Price]]</f>
        <v>2072</v>
      </c>
      <c r="L37" s="4">
        <f>Tablo1[[#This Row],[Sales]]-(Tablo1[[#This Row],[Quantity]]*Tablo1[[#This Row],[Unit_Cost]])</f>
        <v>650</v>
      </c>
    </row>
    <row r="38" spans="1:12" x14ac:dyDescent="0.3">
      <c r="A38" s="2">
        <v>1037</v>
      </c>
      <c r="B38" s="7">
        <v>45409</v>
      </c>
      <c r="C38" s="8" t="s">
        <v>77</v>
      </c>
      <c r="D38" s="2" t="s">
        <v>22</v>
      </c>
      <c r="E38" s="2" t="s">
        <v>30</v>
      </c>
      <c r="F38" s="2" t="s">
        <v>49</v>
      </c>
      <c r="G38" s="2" t="s">
        <v>12</v>
      </c>
      <c r="H38" s="2">
        <v>4</v>
      </c>
      <c r="I38" s="4">
        <v>24947</v>
      </c>
      <c r="J38" s="4">
        <v>15056</v>
      </c>
      <c r="K38" s="4">
        <f>Tablo1[[#This Row],[Quantity]]*Tablo1[[#This Row],[Unit_Price]]</f>
        <v>99788</v>
      </c>
      <c r="L38" s="4">
        <f>Tablo1[[#This Row],[Sales]]-(Tablo1[[#This Row],[Quantity]]*Tablo1[[#This Row],[Unit_Cost]])</f>
        <v>39564</v>
      </c>
    </row>
    <row r="39" spans="1:12" x14ac:dyDescent="0.3">
      <c r="A39" s="2">
        <v>1038</v>
      </c>
      <c r="B39" s="7">
        <v>45298</v>
      </c>
      <c r="C39" s="8" t="s">
        <v>75</v>
      </c>
      <c r="D39" s="2" t="s">
        <v>15</v>
      </c>
      <c r="E39" s="2" t="s">
        <v>30</v>
      </c>
      <c r="F39" s="2" t="s">
        <v>16</v>
      </c>
      <c r="G39" s="2" t="s">
        <v>17</v>
      </c>
      <c r="H39" s="2">
        <v>2</v>
      </c>
      <c r="I39" s="4">
        <v>9524</v>
      </c>
      <c r="J39" s="4">
        <v>5829</v>
      </c>
      <c r="K39" s="4">
        <f>Tablo1[[#This Row],[Quantity]]*Tablo1[[#This Row],[Unit_Price]]</f>
        <v>19048</v>
      </c>
      <c r="L39" s="4">
        <f>Tablo1[[#This Row],[Sales]]-(Tablo1[[#This Row],[Quantity]]*Tablo1[[#This Row],[Unit_Cost]])</f>
        <v>7390</v>
      </c>
    </row>
    <row r="40" spans="1:12" x14ac:dyDescent="0.3">
      <c r="A40" s="2">
        <v>1039</v>
      </c>
      <c r="B40" s="7">
        <v>45631</v>
      </c>
      <c r="C40" s="8" t="s">
        <v>76</v>
      </c>
      <c r="D40" s="2" t="s">
        <v>44</v>
      </c>
      <c r="E40" s="2" t="s">
        <v>26</v>
      </c>
      <c r="F40" s="2" t="s">
        <v>27</v>
      </c>
      <c r="G40" s="2" t="s">
        <v>28</v>
      </c>
      <c r="H40" s="2">
        <v>5</v>
      </c>
      <c r="I40" s="4">
        <v>2567</v>
      </c>
      <c r="J40" s="4">
        <v>1333</v>
      </c>
      <c r="K40" s="4">
        <f>Tablo1[[#This Row],[Quantity]]*Tablo1[[#This Row],[Unit_Price]]</f>
        <v>12835</v>
      </c>
      <c r="L40" s="4">
        <f>Tablo1[[#This Row],[Sales]]-(Tablo1[[#This Row],[Quantity]]*Tablo1[[#This Row],[Unit_Cost]])</f>
        <v>6170</v>
      </c>
    </row>
    <row r="41" spans="1:12" x14ac:dyDescent="0.3">
      <c r="A41" s="2">
        <v>1040</v>
      </c>
      <c r="B41" s="7">
        <v>45330</v>
      </c>
      <c r="C41" s="8" t="s">
        <v>75</v>
      </c>
      <c r="D41" s="2" t="s">
        <v>13</v>
      </c>
      <c r="E41" s="2" t="s">
        <v>20</v>
      </c>
      <c r="F41" s="2" t="s">
        <v>14</v>
      </c>
      <c r="G41" s="2" t="s">
        <v>12</v>
      </c>
      <c r="H41" s="2">
        <v>8</v>
      </c>
      <c r="I41" s="4">
        <v>12577</v>
      </c>
      <c r="J41" s="4">
        <v>8263</v>
      </c>
      <c r="K41" s="4">
        <f>Tablo1[[#This Row],[Quantity]]*Tablo1[[#This Row],[Unit_Price]]</f>
        <v>100616</v>
      </c>
      <c r="L41" s="4">
        <f>Tablo1[[#This Row],[Sales]]-(Tablo1[[#This Row],[Quantity]]*Tablo1[[#This Row],[Unit_Cost]])</f>
        <v>34512</v>
      </c>
    </row>
    <row r="42" spans="1:12" x14ac:dyDescent="0.3">
      <c r="A42" s="2">
        <v>1041</v>
      </c>
      <c r="B42" s="7">
        <v>45316</v>
      </c>
      <c r="C42" s="8" t="s">
        <v>74</v>
      </c>
      <c r="D42" s="2" t="s">
        <v>15</v>
      </c>
      <c r="E42" s="2" t="s">
        <v>23</v>
      </c>
      <c r="F42" s="2" t="s">
        <v>48</v>
      </c>
      <c r="G42" s="2" t="s">
        <v>34</v>
      </c>
      <c r="H42" s="2">
        <v>6</v>
      </c>
      <c r="I42" s="4">
        <v>985</v>
      </c>
      <c r="J42" s="4">
        <v>621</v>
      </c>
      <c r="K42" s="4">
        <f>Tablo1[[#This Row],[Quantity]]*Tablo1[[#This Row],[Unit_Price]]</f>
        <v>5910</v>
      </c>
      <c r="L42" s="4">
        <f>Tablo1[[#This Row],[Sales]]-(Tablo1[[#This Row],[Quantity]]*Tablo1[[#This Row],[Unit_Cost]])</f>
        <v>2184</v>
      </c>
    </row>
    <row r="43" spans="1:12" x14ac:dyDescent="0.3">
      <c r="A43" s="2">
        <v>1042</v>
      </c>
      <c r="B43" s="7">
        <v>45576</v>
      </c>
      <c r="C43" s="8" t="s">
        <v>73</v>
      </c>
      <c r="D43" s="2" t="s">
        <v>41</v>
      </c>
      <c r="E43" s="2" t="s">
        <v>23</v>
      </c>
      <c r="F43" s="2" t="s">
        <v>49</v>
      </c>
      <c r="G43" s="2" t="s">
        <v>12</v>
      </c>
      <c r="H43" s="2">
        <v>4</v>
      </c>
      <c r="I43" s="4">
        <v>22045</v>
      </c>
      <c r="J43" s="4">
        <v>15075</v>
      </c>
      <c r="K43" s="4">
        <f>Tablo1[[#This Row],[Quantity]]*Tablo1[[#This Row],[Unit_Price]]</f>
        <v>88180</v>
      </c>
      <c r="L43" s="4">
        <f>Tablo1[[#This Row],[Sales]]-(Tablo1[[#This Row],[Quantity]]*Tablo1[[#This Row],[Unit_Cost]])</f>
        <v>27880</v>
      </c>
    </row>
    <row r="44" spans="1:12" x14ac:dyDescent="0.3">
      <c r="A44" s="2">
        <v>1043</v>
      </c>
      <c r="B44" s="7">
        <v>45424</v>
      </c>
      <c r="C44" s="8" t="s">
        <v>73</v>
      </c>
      <c r="D44" s="2" t="s">
        <v>44</v>
      </c>
      <c r="E44" s="2" t="s">
        <v>38</v>
      </c>
      <c r="F44" s="2" t="s">
        <v>42</v>
      </c>
      <c r="G44" s="2" t="s">
        <v>12</v>
      </c>
      <c r="H44" s="2">
        <v>4</v>
      </c>
      <c r="I44" s="4">
        <v>18645</v>
      </c>
      <c r="J44" s="4">
        <v>11741</v>
      </c>
      <c r="K44" s="4">
        <f>Tablo1[[#This Row],[Quantity]]*Tablo1[[#This Row],[Unit_Price]]</f>
        <v>74580</v>
      </c>
      <c r="L44" s="4">
        <f>Tablo1[[#This Row],[Sales]]-(Tablo1[[#This Row],[Quantity]]*Tablo1[[#This Row],[Unit_Cost]])</f>
        <v>27616</v>
      </c>
    </row>
    <row r="45" spans="1:12" x14ac:dyDescent="0.3">
      <c r="A45" s="2">
        <v>1044</v>
      </c>
      <c r="B45" s="7">
        <v>45377</v>
      </c>
      <c r="C45" s="8" t="s">
        <v>75</v>
      </c>
      <c r="D45" s="2" t="s">
        <v>15</v>
      </c>
      <c r="E45" s="2" t="s">
        <v>26</v>
      </c>
      <c r="F45" s="2" t="s">
        <v>31</v>
      </c>
      <c r="G45" s="2" t="s">
        <v>17</v>
      </c>
      <c r="H45" s="2">
        <v>5</v>
      </c>
      <c r="I45" s="4">
        <v>7267</v>
      </c>
      <c r="J45" s="4">
        <v>5491</v>
      </c>
      <c r="K45" s="4">
        <f>Tablo1[[#This Row],[Quantity]]*Tablo1[[#This Row],[Unit_Price]]</f>
        <v>36335</v>
      </c>
      <c r="L45" s="4">
        <f>Tablo1[[#This Row],[Sales]]-(Tablo1[[#This Row],[Quantity]]*Tablo1[[#This Row],[Unit_Cost]])</f>
        <v>8880</v>
      </c>
    </row>
    <row r="46" spans="1:12" x14ac:dyDescent="0.3">
      <c r="A46" s="2">
        <v>1045</v>
      </c>
      <c r="B46" s="7">
        <v>45358</v>
      </c>
      <c r="C46" s="8" t="s">
        <v>74</v>
      </c>
      <c r="D46" s="2" t="s">
        <v>32</v>
      </c>
      <c r="E46" s="2" t="s">
        <v>26</v>
      </c>
      <c r="F46" s="2" t="s">
        <v>24</v>
      </c>
      <c r="G46" s="2" t="s">
        <v>25</v>
      </c>
      <c r="H46" s="2">
        <v>4</v>
      </c>
      <c r="I46" s="4">
        <v>2357</v>
      </c>
      <c r="J46" s="4">
        <v>1433</v>
      </c>
      <c r="K46" s="4">
        <f>Tablo1[[#This Row],[Quantity]]*Tablo1[[#This Row],[Unit_Price]]</f>
        <v>9428</v>
      </c>
      <c r="L46" s="4">
        <f>Tablo1[[#This Row],[Sales]]-(Tablo1[[#This Row],[Quantity]]*Tablo1[[#This Row],[Unit_Cost]])</f>
        <v>3696</v>
      </c>
    </row>
    <row r="47" spans="1:12" x14ac:dyDescent="0.3">
      <c r="A47" s="2">
        <v>1046</v>
      </c>
      <c r="B47" s="7">
        <v>45430</v>
      </c>
      <c r="C47" s="8" t="s">
        <v>76</v>
      </c>
      <c r="D47" s="2" t="s">
        <v>22</v>
      </c>
      <c r="E47" s="2" t="s">
        <v>38</v>
      </c>
      <c r="F47" s="2" t="s">
        <v>42</v>
      </c>
      <c r="G47" s="2" t="s">
        <v>12</v>
      </c>
      <c r="H47" s="2">
        <v>8</v>
      </c>
      <c r="I47" s="4">
        <v>18817</v>
      </c>
      <c r="J47" s="4">
        <v>13821</v>
      </c>
      <c r="K47" s="4">
        <f>Tablo1[[#This Row],[Quantity]]*Tablo1[[#This Row],[Unit_Price]]</f>
        <v>150536</v>
      </c>
      <c r="L47" s="4">
        <f>Tablo1[[#This Row],[Sales]]-(Tablo1[[#This Row],[Quantity]]*Tablo1[[#This Row],[Unit_Cost]])</f>
        <v>39968</v>
      </c>
    </row>
    <row r="48" spans="1:12" x14ac:dyDescent="0.3">
      <c r="A48" s="2">
        <v>1047</v>
      </c>
      <c r="B48" s="7">
        <v>45382</v>
      </c>
      <c r="C48" s="8" t="s">
        <v>75</v>
      </c>
      <c r="D48" s="2" t="s">
        <v>13</v>
      </c>
      <c r="E48" s="2" t="s">
        <v>23</v>
      </c>
      <c r="F48" s="2" t="s">
        <v>47</v>
      </c>
      <c r="G48" s="2" t="s">
        <v>25</v>
      </c>
      <c r="H48" s="2">
        <v>6</v>
      </c>
      <c r="I48" s="4">
        <v>3563</v>
      </c>
      <c r="J48" s="4">
        <v>2583</v>
      </c>
      <c r="K48" s="4">
        <f>Tablo1[[#This Row],[Quantity]]*Tablo1[[#This Row],[Unit_Price]]</f>
        <v>21378</v>
      </c>
      <c r="L48" s="4">
        <f>Tablo1[[#This Row],[Sales]]-(Tablo1[[#This Row],[Quantity]]*Tablo1[[#This Row],[Unit_Cost]])</f>
        <v>5880</v>
      </c>
    </row>
    <row r="49" spans="1:12" x14ac:dyDescent="0.3">
      <c r="A49" s="2">
        <v>1048</v>
      </c>
      <c r="B49" s="7">
        <v>45475</v>
      </c>
      <c r="C49" s="8" t="s">
        <v>73</v>
      </c>
      <c r="D49" s="2" t="s">
        <v>32</v>
      </c>
      <c r="E49" s="2" t="s">
        <v>20</v>
      </c>
      <c r="F49" s="2" t="s">
        <v>29</v>
      </c>
      <c r="G49" s="2" t="s">
        <v>25</v>
      </c>
      <c r="H49" s="2">
        <v>3</v>
      </c>
      <c r="I49" s="4">
        <v>1296</v>
      </c>
      <c r="J49" s="4">
        <v>736</v>
      </c>
      <c r="K49" s="4">
        <f>Tablo1[[#This Row],[Quantity]]*Tablo1[[#This Row],[Unit_Price]]</f>
        <v>3888</v>
      </c>
      <c r="L49" s="4">
        <f>Tablo1[[#This Row],[Sales]]-(Tablo1[[#This Row],[Quantity]]*Tablo1[[#This Row],[Unit_Cost]])</f>
        <v>1680</v>
      </c>
    </row>
    <row r="50" spans="1:12" x14ac:dyDescent="0.3">
      <c r="A50" s="2">
        <v>1049</v>
      </c>
      <c r="B50" s="7">
        <v>45337</v>
      </c>
      <c r="C50" s="8" t="s">
        <v>76</v>
      </c>
      <c r="D50" s="2" t="s">
        <v>35</v>
      </c>
      <c r="E50" s="2" t="s">
        <v>38</v>
      </c>
      <c r="F50" s="2" t="s">
        <v>39</v>
      </c>
      <c r="G50" s="2" t="s">
        <v>28</v>
      </c>
      <c r="H50" s="2">
        <v>9</v>
      </c>
      <c r="I50" s="4">
        <v>2202</v>
      </c>
      <c r="J50" s="4">
        <v>1226</v>
      </c>
      <c r="K50" s="4">
        <f>Tablo1[[#This Row],[Quantity]]*Tablo1[[#This Row],[Unit_Price]]</f>
        <v>19818</v>
      </c>
      <c r="L50" s="4">
        <f>Tablo1[[#This Row],[Sales]]-(Tablo1[[#This Row],[Quantity]]*Tablo1[[#This Row],[Unit_Cost]])</f>
        <v>8784</v>
      </c>
    </row>
    <row r="51" spans="1:12" x14ac:dyDescent="0.3">
      <c r="A51" s="2">
        <v>1050</v>
      </c>
      <c r="B51" s="7">
        <v>45416</v>
      </c>
      <c r="C51" s="8" t="s">
        <v>74</v>
      </c>
      <c r="D51" s="2" t="s">
        <v>32</v>
      </c>
      <c r="E51" s="2" t="s">
        <v>20</v>
      </c>
      <c r="F51" s="2" t="s">
        <v>47</v>
      </c>
      <c r="G51" s="2" t="s">
        <v>25</v>
      </c>
      <c r="H51" s="2">
        <v>7</v>
      </c>
      <c r="I51" s="4">
        <v>7722</v>
      </c>
      <c r="J51" s="4">
        <v>6055</v>
      </c>
      <c r="K51" s="4">
        <f>Tablo1[[#This Row],[Quantity]]*Tablo1[[#This Row],[Unit_Price]]</f>
        <v>54054</v>
      </c>
      <c r="L51" s="4">
        <f>Tablo1[[#This Row],[Sales]]-(Tablo1[[#This Row],[Quantity]]*Tablo1[[#This Row],[Unit_Cost]])</f>
        <v>11669</v>
      </c>
    </row>
    <row r="52" spans="1:12" x14ac:dyDescent="0.3">
      <c r="A52" s="2">
        <v>1051</v>
      </c>
      <c r="B52" s="7">
        <v>45501</v>
      </c>
      <c r="C52" s="8" t="s">
        <v>77</v>
      </c>
      <c r="D52" s="2" t="s">
        <v>32</v>
      </c>
      <c r="E52" s="2" t="s">
        <v>20</v>
      </c>
      <c r="F52" s="2" t="s">
        <v>33</v>
      </c>
      <c r="G52" s="2" t="s">
        <v>34</v>
      </c>
      <c r="H52" s="2">
        <v>4</v>
      </c>
      <c r="I52" s="4">
        <v>4874</v>
      </c>
      <c r="J52" s="4">
        <v>3240</v>
      </c>
      <c r="K52" s="4">
        <f>Tablo1[[#This Row],[Quantity]]*Tablo1[[#This Row],[Unit_Price]]</f>
        <v>19496</v>
      </c>
      <c r="L52" s="4">
        <f>Tablo1[[#This Row],[Sales]]-(Tablo1[[#This Row],[Quantity]]*Tablo1[[#This Row],[Unit_Cost]])</f>
        <v>6536</v>
      </c>
    </row>
    <row r="53" spans="1:12" x14ac:dyDescent="0.3">
      <c r="A53" s="2">
        <v>1052</v>
      </c>
      <c r="B53" s="7">
        <v>45520</v>
      </c>
      <c r="C53" s="8" t="s">
        <v>75</v>
      </c>
      <c r="D53" s="2" t="s">
        <v>19</v>
      </c>
      <c r="E53" s="2" t="s">
        <v>30</v>
      </c>
      <c r="F53" s="2" t="s">
        <v>42</v>
      </c>
      <c r="G53" s="2" t="s">
        <v>12</v>
      </c>
      <c r="H53" s="2">
        <v>7</v>
      </c>
      <c r="I53" s="4">
        <v>18465</v>
      </c>
      <c r="J53" s="4">
        <v>12428</v>
      </c>
      <c r="K53" s="4">
        <f>Tablo1[[#This Row],[Quantity]]*Tablo1[[#This Row],[Unit_Price]]</f>
        <v>129255</v>
      </c>
      <c r="L53" s="4">
        <f>Tablo1[[#This Row],[Sales]]-(Tablo1[[#This Row],[Quantity]]*Tablo1[[#This Row],[Unit_Cost]])</f>
        <v>42259</v>
      </c>
    </row>
    <row r="54" spans="1:12" x14ac:dyDescent="0.3">
      <c r="A54" s="2">
        <v>1053</v>
      </c>
      <c r="B54" s="7">
        <v>45612</v>
      </c>
      <c r="C54" s="8" t="s">
        <v>76</v>
      </c>
      <c r="D54" s="2" t="s">
        <v>44</v>
      </c>
      <c r="E54" s="2" t="s">
        <v>38</v>
      </c>
      <c r="F54" s="2" t="s">
        <v>27</v>
      </c>
      <c r="G54" s="2" t="s">
        <v>28</v>
      </c>
      <c r="H54" s="2">
        <v>5</v>
      </c>
      <c r="I54" s="4">
        <v>2322</v>
      </c>
      <c r="J54" s="4">
        <v>1605</v>
      </c>
      <c r="K54" s="4">
        <f>Tablo1[[#This Row],[Quantity]]*Tablo1[[#This Row],[Unit_Price]]</f>
        <v>11610</v>
      </c>
      <c r="L54" s="4">
        <f>Tablo1[[#This Row],[Sales]]-(Tablo1[[#This Row],[Quantity]]*Tablo1[[#This Row],[Unit_Cost]])</f>
        <v>3585</v>
      </c>
    </row>
    <row r="55" spans="1:12" x14ac:dyDescent="0.3">
      <c r="A55" s="2">
        <v>1054</v>
      </c>
      <c r="B55" s="7">
        <v>45454</v>
      </c>
      <c r="C55" s="8" t="s">
        <v>75</v>
      </c>
      <c r="D55" s="2" t="s">
        <v>15</v>
      </c>
      <c r="E55" s="2" t="s">
        <v>23</v>
      </c>
      <c r="F55" s="2" t="s">
        <v>46</v>
      </c>
      <c r="G55" s="2" t="s">
        <v>17</v>
      </c>
      <c r="H55" s="2">
        <v>1</v>
      </c>
      <c r="I55" s="4">
        <v>5052</v>
      </c>
      <c r="J55" s="4">
        <v>3981</v>
      </c>
      <c r="K55" s="4">
        <f>Tablo1[[#This Row],[Quantity]]*Tablo1[[#This Row],[Unit_Price]]</f>
        <v>5052</v>
      </c>
      <c r="L55" s="4">
        <f>Tablo1[[#This Row],[Sales]]-(Tablo1[[#This Row],[Quantity]]*Tablo1[[#This Row],[Unit_Cost]])</f>
        <v>1071</v>
      </c>
    </row>
    <row r="56" spans="1:12" x14ac:dyDescent="0.3">
      <c r="A56" s="2">
        <v>1055</v>
      </c>
      <c r="B56" s="7">
        <v>45339</v>
      </c>
      <c r="C56" s="8" t="s">
        <v>74</v>
      </c>
      <c r="D56" s="2" t="s">
        <v>43</v>
      </c>
      <c r="E56" s="2" t="s">
        <v>20</v>
      </c>
      <c r="F56" s="2" t="s">
        <v>37</v>
      </c>
      <c r="G56" s="2" t="s">
        <v>28</v>
      </c>
      <c r="H56" s="2">
        <v>9</v>
      </c>
      <c r="I56" s="4">
        <v>3863</v>
      </c>
      <c r="J56" s="4">
        <v>2775</v>
      </c>
      <c r="K56" s="4">
        <f>Tablo1[[#This Row],[Quantity]]*Tablo1[[#This Row],[Unit_Price]]</f>
        <v>34767</v>
      </c>
      <c r="L56" s="4">
        <f>Tablo1[[#This Row],[Sales]]-(Tablo1[[#This Row],[Quantity]]*Tablo1[[#This Row],[Unit_Cost]])</f>
        <v>9792</v>
      </c>
    </row>
    <row r="57" spans="1:12" x14ac:dyDescent="0.3">
      <c r="A57" s="2">
        <v>1056</v>
      </c>
      <c r="B57" s="7">
        <v>45580</v>
      </c>
      <c r="C57" s="8" t="s">
        <v>73</v>
      </c>
      <c r="D57" s="2" t="s">
        <v>44</v>
      </c>
      <c r="E57" s="2" t="s">
        <v>23</v>
      </c>
      <c r="F57" s="2" t="s">
        <v>31</v>
      </c>
      <c r="G57" s="2" t="s">
        <v>17</v>
      </c>
      <c r="H57" s="2">
        <v>4</v>
      </c>
      <c r="I57" s="4">
        <v>5204</v>
      </c>
      <c r="J57" s="4">
        <v>3532</v>
      </c>
      <c r="K57" s="4">
        <f>Tablo1[[#This Row],[Quantity]]*Tablo1[[#This Row],[Unit_Price]]</f>
        <v>20816</v>
      </c>
      <c r="L57" s="4">
        <f>Tablo1[[#This Row],[Sales]]-(Tablo1[[#This Row],[Quantity]]*Tablo1[[#This Row],[Unit_Cost]])</f>
        <v>6688</v>
      </c>
    </row>
    <row r="58" spans="1:12" x14ac:dyDescent="0.3">
      <c r="A58" s="2">
        <v>1057</v>
      </c>
      <c r="B58" s="7">
        <v>45313</v>
      </c>
      <c r="C58" s="8" t="s">
        <v>73</v>
      </c>
      <c r="D58" s="2" t="s">
        <v>10</v>
      </c>
      <c r="E58" s="2" t="s">
        <v>38</v>
      </c>
      <c r="F58" s="2" t="s">
        <v>46</v>
      </c>
      <c r="G58" s="2" t="s">
        <v>17</v>
      </c>
      <c r="H58" s="2">
        <v>4</v>
      </c>
      <c r="I58" s="4">
        <v>2146</v>
      </c>
      <c r="J58" s="4">
        <v>1463</v>
      </c>
      <c r="K58" s="4">
        <f>Tablo1[[#This Row],[Quantity]]*Tablo1[[#This Row],[Unit_Price]]</f>
        <v>8584</v>
      </c>
      <c r="L58" s="4">
        <f>Tablo1[[#This Row],[Sales]]-(Tablo1[[#This Row],[Quantity]]*Tablo1[[#This Row],[Unit_Cost]])</f>
        <v>2732</v>
      </c>
    </row>
    <row r="59" spans="1:12" x14ac:dyDescent="0.3">
      <c r="A59" s="2">
        <v>1058</v>
      </c>
      <c r="B59" s="7">
        <v>45319</v>
      </c>
      <c r="C59" s="8" t="s">
        <v>75</v>
      </c>
      <c r="D59" s="2" t="s">
        <v>22</v>
      </c>
      <c r="E59" s="2" t="s">
        <v>20</v>
      </c>
      <c r="F59" s="2" t="s">
        <v>45</v>
      </c>
      <c r="G59" s="2" t="s">
        <v>34</v>
      </c>
      <c r="H59" s="2">
        <v>5</v>
      </c>
      <c r="I59" s="4">
        <v>502</v>
      </c>
      <c r="J59" s="4">
        <v>384</v>
      </c>
      <c r="K59" s="4">
        <f>Tablo1[[#This Row],[Quantity]]*Tablo1[[#This Row],[Unit_Price]]</f>
        <v>2510</v>
      </c>
      <c r="L59" s="4">
        <f>Tablo1[[#This Row],[Sales]]-(Tablo1[[#This Row],[Quantity]]*Tablo1[[#This Row],[Unit_Cost]])</f>
        <v>590</v>
      </c>
    </row>
    <row r="60" spans="1:12" x14ac:dyDescent="0.3">
      <c r="A60" s="2">
        <v>1059</v>
      </c>
      <c r="B60" s="7">
        <v>45641</v>
      </c>
      <c r="C60" s="8" t="s">
        <v>74</v>
      </c>
      <c r="D60" s="2" t="s">
        <v>19</v>
      </c>
      <c r="E60" s="2" t="s">
        <v>38</v>
      </c>
      <c r="F60" s="2" t="s">
        <v>50</v>
      </c>
      <c r="G60" s="2" t="s">
        <v>28</v>
      </c>
      <c r="H60" s="2">
        <v>6</v>
      </c>
      <c r="I60" s="4">
        <v>3218</v>
      </c>
      <c r="J60" s="4">
        <v>1916</v>
      </c>
      <c r="K60" s="4">
        <f>Tablo1[[#This Row],[Quantity]]*Tablo1[[#This Row],[Unit_Price]]</f>
        <v>19308</v>
      </c>
      <c r="L60" s="4">
        <f>Tablo1[[#This Row],[Sales]]-(Tablo1[[#This Row],[Quantity]]*Tablo1[[#This Row],[Unit_Cost]])</f>
        <v>7812</v>
      </c>
    </row>
    <row r="61" spans="1:12" x14ac:dyDescent="0.3">
      <c r="A61" s="2">
        <v>1060</v>
      </c>
      <c r="B61" s="7">
        <v>45323</v>
      </c>
      <c r="C61" s="8" t="s">
        <v>76</v>
      </c>
      <c r="D61" s="2" t="s">
        <v>43</v>
      </c>
      <c r="E61" s="2" t="s">
        <v>20</v>
      </c>
      <c r="F61" s="2" t="s">
        <v>49</v>
      </c>
      <c r="G61" s="2" t="s">
        <v>12</v>
      </c>
      <c r="H61" s="2">
        <v>8</v>
      </c>
      <c r="I61" s="4">
        <v>9300</v>
      </c>
      <c r="J61" s="4">
        <v>5161</v>
      </c>
      <c r="K61" s="4">
        <f>Tablo1[[#This Row],[Quantity]]*Tablo1[[#This Row],[Unit_Price]]</f>
        <v>74400</v>
      </c>
      <c r="L61" s="4">
        <f>Tablo1[[#This Row],[Sales]]-(Tablo1[[#This Row],[Quantity]]*Tablo1[[#This Row],[Unit_Cost]])</f>
        <v>33112</v>
      </c>
    </row>
    <row r="62" spans="1:12" x14ac:dyDescent="0.3">
      <c r="A62" s="2">
        <v>1061</v>
      </c>
      <c r="B62" s="7">
        <v>45548</v>
      </c>
      <c r="C62" s="8" t="s">
        <v>75</v>
      </c>
      <c r="D62" s="2" t="s">
        <v>35</v>
      </c>
      <c r="E62" s="2" t="s">
        <v>38</v>
      </c>
      <c r="F62" s="2" t="s">
        <v>16</v>
      </c>
      <c r="G62" s="2" t="s">
        <v>17</v>
      </c>
      <c r="H62" s="2">
        <v>8</v>
      </c>
      <c r="I62" s="4">
        <v>1638</v>
      </c>
      <c r="J62" s="4">
        <v>1243</v>
      </c>
      <c r="K62" s="4">
        <f>Tablo1[[#This Row],[Quantity]]*Tablo1[[#This Row],[Unit_Price]]</f>
        <v>13104</v>
      </c>
      <c r="L62" s="4">
        <f>Tablo1[[#This Row],[Sales]]-(Tablo1[[#This Row],[Quantity]]*Tablo1[[#This Row],[Unit_Cost]])</f>
        <v>3160</v>
      </c>
    </row>
    <row r="63" spans="1:12" x14ac:dyDescent="0.3">
      <c r="A63" s="2">
        <v>1062</v>
      </c>
      <c r="B63" s="7">
        <v>45324</v>
      </c>
      <c r="C63" s="8" t="s">
        <v>73</v>
      </c>
      <c r="D63" s="2" t="s">
        <v>13</v>
      </c>
      <c r="E63" s="2" t="s">
        <v>38</v>
      </c>
      <c r="F63" s="2" t="s">
        <v>40</v>
      </c>
      <c r="G63" s="2" t="s">
        <v>25</v>
      </c>
      <c r="H63" s="2">
        <v>3</v>
      </c>
      <c r="I63" s="4">
        <v>6638</v>
      </c>
      <c r="J63" s="4">
        <v>3857</v>
      </c>
      <c r="K63" s="4">
        <f>Tablo1[[#This Row],[Quantity]]*Tablo1[[#This Row],[Unit_Price]]</f>
        <v>19914</v>
      </c>
      <c r="L63" s="4">
        <f>Tablo1[[#This Row],[Sales]]-(Tablo1[[#This Row],[Quantity]]*Tablo1[[#This Row],[Unit_Cost]])</f>
        <v>8343</v>
      </c>
    </row>
    <row r="64" spans="1:12" x14ac:dyDescent="0.3">
      <c r="A64" s="2">
        <v>1063</v>
      </c>
      <c r="B64" s="7">
        <v>45315</v>
      </c>
      <c r="C64" s="8" t="s">
        <v>76</v>
      </c>
      <c r="D64" s="2" t="s">
        <v>13</v>
      </c>
      <c r="E64" s="2" t="s">
        <v>20</v>
      </c>
      <c r="F64" s="2" t="s">
        <v>31</v>
      </c>
      <c r="G64" s="2" t="s">
        <v>17</v>
      </c>
      <c r="H64" s="2">
        <v>10</v>
      </c>
      <c r="I64" s="4">
        <v>5438</v>
      </c>
      <c r="J64" s="4">
        <v>3220</v>
      </c>
      <c r="K64" s="4">
        <f>Tablo1[[#This Row],[Quantity]]*Tablo1[[#This Row],[Unit_Price]]</f>
        <v>54380</v>
      </c>
      <c r="L64" s="4">
        <f>Tablo1[[#This Row],[Sales]]-(Tablo1[[#This Row],[Quantity]]*Tablo1[[#This Row],[Unit_Cost]])</f>
        <v>22180</v>
      </c>
    </row>
    <row r="65" spans="1:12" x14ac:dyDescent="0.3">
      <c r="A65" s="2">
        <v>1064</v>
      </c>
      <c r="B65" s="7">
        <v>45349</v>
      </c>
      <c r="C65" s="8" t="s">
        <v>74</v>
      </c>
      <c r="D65" s="2" t="s">
        <v>41</v>
      </c>
      <c r="E65" s="2" t="s">
        <v>38</v>
      </c>
      <c r="F65" s="2" t="s">
        <v>46</v>
      </c>
      <c r="G65" s="2" t="s">
        <v>17</v>
      </c>
      <c r="H65" s="2">
        <v>9</v>
      </c>
      <c r="I65" s="4">
        <v>5325</v>
      </c>
      <c r="J65" s="4">
        <v>2807</v>
      </c>
      <c r="K65" s="4">
        <f>Tablo1[[#This Row],[Quantity]]*Tablo1[[#This Row],[Unit_Price]]</f>
        <v>47925</v>
      </c>
      <c r="L65" s="4">
        <f>Tablo1[[#This Row],[Sales]]-(Tablo1[[#This Row],[Quantity]]*Tablo1[[#This Row],[Unit_Cost]])</f>
        <v>22662</v>
      </c>
    </row>
    <row r="66" spans="1:12" x14ac:dyDescent="0.3">
      <c r="A66" s="2">
        <v>1065</v>
      </c>
      <c r="B66" s="7">
        <v>45482</v>
      </c>
      <c r="C66" s="8" t="s">
        <v>77</v>
      </c>
      <c r="D66" s="2" t="s">
        <v>19</v>
      </c>
      <c r="E66" s="2" t="s">
        <v>26</v>
      </c>
      <c r="F66" s="2" t="s">
        <v>50</v>
      </c>
      <c r="G66" s="2" t="s">
        <v>28</v>
      </c>
      <c r="H66" s="2">
        <v>8</v>
      </c>
      <c r="I66" s="4">
        <v>2292</v>
      </c>
      <c r="J66" s="4">
        <v>1428</v>
      </c>
      <c r="K66" s="4">
        <f>Tablo1[[#This Row],[Quantity]]*Tablo1[[#This Row],[Unit_Price]]</f>
        <v>18336</v>
      </c>
      <c r="L66" s="4">
        <f>Tablo1[[#This Row],[Sales]]-(Tablo1[[#This Row],[Quantity]]*Tablo1[[#This Row],[Unit_Cost]])</f>
        <v>6912</v>
      </c>
    </row>
    <row r="67" spans="1:12" x14ac:dyDescent="0.3">
      <c r="A67" s="2">
        <v>1066</v>
      </c>
      <c r="B67" s="7">
        <v>45311</v>
      </c>
      <c r="C67" s="8" t="s">
        <v>75</v>
      </c>
      <c r="D67" s="2" t="s">
        <v>43</v>
      </c>
      <c r="E67" s="2" t="s">
        <v>20</v>
      </c>
      <c r="F67" s="2" t="s">
        <v>14</v>
      </c>
      <c r="G67" s="2" t="s">
        <v>12</v>
      </c>
      <c r="H67" s="2">
        <v>5</v>
      </c>
      <c r="I67" s="4">
        <v>15515</v>
      </c>
      <c r="J67" s="4">
        <v>11889</v>
      </c>
      <c r="K67" s="4">
        <f>Tablo1[[#This Row],[Quantity]]*Tablo1[[#This Row],[Unit_Price]]</f>
        <v>77575</v>
      </c>
      <c r="L67" s="4">
        <f>Tablo1[[#This Row],[Sales]]-(Tablo1[[#This Row],[Quantity]]*Tablo1[[#This Row],[Unit_Cost]])</f>
        <v>18130</v>
      </c>
    </row>
    <row r="68" spans="1:12" x14ac:dyDescent="0.3">
      <c r="A68" s="2">
        <v>1067</v>
      </c>
      <c r="B68" s="7">
        <v>45634</v>
      </c>
      <c r="C68" s="8" t="s">
        <v>76</v>
      </c>
      <c r="D68" s="2" t="s">
        <v>35</v>
      </c>
      <c r="E68" s="2" t="s">
        <v>38</v>
      </c>
      <c r="F68" s="2" t="s">
        <v>42</v>
      </c>
      <c r="G68" s="2" t="s">
        <v>12</v>
      </c>
      <c r="H68" s="2">
        <v>7</v>
      </c>
      <c r="I68" s="4">
        <v>6622</v>
      </c>
      <c r="J68" s="4">
        <v>5020</v>
      </c>
      <c r="K68" s="4">
        <f>Tablo1[[#This Row],[Quantity]]*Tablo1[[#This Row],[Unit_Price]]</f>
        <v>46354</v>
      </c>
      <c r="L68" s="4">
        <f>Tablo1[[#This Row],[Sales]]-(Tablo1[[#This Row],[Quantity]]*Tablo1[[#This Row],[Unit_Cost]])</f>
        <v>11214</v>
      </c>
    </row>
    <row r="69" spans="1:12" x14ac:dyDescent="0.3">
      <c r="A69" s="2">
        <v>1068</v>
      </c>
      <c r="B69" s="7">
        <v>45589</v>
      </c>
      <c r="C69" s="8" t="s">
        <v>75</v>
      </c>
      <c r="D69" s="2" t="s">
        <v>10</v>
      </c>
      <c r="E69" s="2" t="s">
        <v>38</v>
      </c>
      <c r="F69" s="2" t="s">
        <v>42</v>
      </c>
      <c r="G69" s="2" t="s">
        <v>12</v>
      </c>
      <c r="H69" s="2">
        <v>9</v>
      </c>
      <c r="I69" s="4">
        <v>9948</v>
      </c>
      <c r="J69" s="4">
        <v>7219</v>
      </c>
      <c r="K69" s="4">
        <f>Tablo1[[#This Row],[Quantity]]*Tablo1[[#This Row],[Unit_Price]]</f>
        <v>89532</v>
      </c>
      <c r="L69" s="4">
        <f>Tablo1[[#This Row],[Sales]]-(Tablo1[[#This Row],[Quantity]]*Tablo1[[#This Row],[Unit_Cost]])</f>
        <v>24561</v>
      </c>
    </row>
    <row r="70" spans="1:12" x14ac:dyDescent="0.3">
      <c r="A70" s="2">
        <v>1069</v>
      </c>
      <c r="B70" s="7">
        <v>45651</v>
      </c>
      <c r="C70" s="8" t="s">
        <v>74</v>
      </c>
      <c r="D70" s="2" t="s">
        <v>22</v>
      </c>
      <c r="E70" s="2" t="s">
        <v>20</v>
      </c>
      <c r="F70" s="2" t="s">
        <v>46</v>
      </c>
      <c r="G70" s="2" t="s">
        <v>17</v>
      </c>
      <c r="H70" s="2">
        <v>8</v>
      </c>
      <c r="I70" s="4">
        <v>3275</v>
      </c>
      <c r="J70" s="4">
        <v>1826</v>
      </c>
      <c r="K70" s="4">
        <f>Tablo1[[#This Row],[Quantity]]*Tablo1[[#This Row],[Unit_Price]]</f>
        <v>26200</v>
      </c>
      <c r="L70" s="4">
        <f>Tablo1[[#This Row],[Sales]]-(Tablo1[[#This Row],[Quantity]]*Tablo1[[#This Row],[Unit_Cost]])</f>
        <v>11592</v>
      </c>
    </row>
    <row r="71" spans="1:12" x14ac:dyDescent="0.3">
      <c r="A71" s="2">
        <v>1070</v>
      </c>
      <c r="B71" s="7">
        <v>45643</v>
      </c>
      <c r="C71" s="8" t="s">
        <v>73</v>
      </c>
      <c r="D71" s="2" t="s">
        <v>10</v>
      </c>
      <c r="E71" s="2" t="s">
        <v>20</v>
      </c>
      <c r="F71" s="2" t="s">
        <v>37</v>
      </c>
      <c r="G71" s="2" t="s">
        <v>28</v>
      </c>
      <c r="H71" s="2">
        <v>6</v>
      </c>
      <c r="I71" s="4">
        <v>2775</v>
      </c>
      <c r="J71" s="4">
        <v>2211</v>
      </c>
      <c r="K71" s="4">
        <f>Tablo1[[#This Row],[Quantity]]*Tablo1[[#This Row],[Unit_Price]]</f>
        <v>16650</v>
      </c>
      <c r="L71" s="4">
        <f>Tablo1[[#This Row],[Sales]]-(Tablo1[[#This Row],[Quantity]]*Tablo1[[#This Row],[Unit_Cost]])</f>
        <v>3384</v>
      </c>
    </row>
    <row r="72" spans="1:12" x14ac:dyDescent="0.3">
      <c r="A72" s="2">
        <v>1071</v>
      </c>
      <c r="B72" s="7">
        <v>45401</v>
      </c>
      <c r="C72" s="8" t="s">
        <v>73</v>
      </c>
      <c r="D72" s="2" t="s">
        <v>15</v>
      </c>
      <c r="E72" s="2" t="s">
        <v>38</v>
      </c>
      <c r="F72" s="2" t="s">
        <v>31</v>
      </c>
      <c r="G72" s="2" t="s">
        <v>17</v>
      </c>
      <c r="H72" s="2">
        <v>9</v>
      </c>
      <c r="I72" s="4">
        <v>10226</v>
      </c>
      <c r="J72" s="4">
        <v>5493</v>
      </c>
      <c r="K72" s="4">
        <f>Tablo1[[#This Row],[Quantity]]*Tablo1[[#This Row],[Unit_Price]]</f>
        <v>92034</v>
      </c>
      <c r="L72" s="4">
        <f>Tablo1[[#This Row],[Sales]]-(Tablo1[[#This Row],[Quantity]]*Tablo1[[#This Row],[Unit_Cost]])</f>
        <v>42597</v>
      </c>
    </row>
    <row r="73" spans="1:12" x14ac:dyDescent="0.3">
      <c r="A73" s="2">
        <v>1072</v>
      </c>
      <c r="B73" s="7">
        <v>45525</v>
      </c>
      <c r="C73" s="8" t="s">
        <v>75</v>
      </c>
      <c r="D73" s="2" t="s">
        <v>43</v>
      </c>
      <c r="E73" s="2" t="s">
        <v>30</v>
      </c>
      <c r="F73" s="2" t="s">
        <v>24</v>
      </c>
      <c r="G73" s="2" t="s">
        <v>25</v>
      </c>
      <c r="H73" s="2">
        <v>9</v>
      </c>
      <c r="I73" s="4">
        <v>6833</v>
      </c>
      <c r="J73" s="4">
        <v>3925</v>
      </c>
      <c r="K73" s="4">
        <f>Tablo1[[#This Row],[Quantity]]*Tablo1[[#This Row],[Unit_Price]]</f>
        <v>61497</v>
      </c>
      <c r="L73" s="4">
        <f>Tablo1[[#This Row],[Sales]]-(Tablo1[[#This Row],[Quantity]]*Tablo1[[#This Row],[Unit_Cost]])</f>
        <v>26172</v>
      </c>
    </row>
    <row r="74" spans="1:12" x14ac:dyDescent="0.3">
      <c r="A74" s="2">
        <v>1073</v>
      </c>
      <c r="B74" s="7">
        <v>45356</v>
      </c>
      <c r="C74" s="8" t="s">
        <v>74</v>
      </c>
      <c r="D74" s="2" t="s">
        <v>19</v>
      </c>
      <c r="E74" s="2" t="s">
        <v>38</v>
      </c>
      <c r="F74" s="2" t="s">
        <v>31</v>
      </c>
      <c r="G74" s="2" t="s">
        <v>17</v>
      </c>
      <c r="H74" s="2">
        <v>6</v>
      </c>
      <c r="I74" s="4">
        <v>11638</v>
      </c>
      <c r="J74" s="4">
        <v>6608</v>
      </c>
      <c r="K74" s="4">
        <f>Tablo1[[#This Row],[Quantity]]*Tablo1[[#This Row],[Unit_Price]]</f>
        <v>69828</v>
      </c>
      <c r="L74" s="4">
        <f>Tablo1[[#This Row],[Sales]]-(Tablo1[[#This Row],[Quantity]]*Tablo1[[#This Row],[Unit_Cost]])</f>
        <v>30180</v>
      </c>
    </row>
    <row r="75" spans="1:12" x14ac:dyDescent="0.3">
      <c r="A75" s="2">
        <v>1074</v>
      </c>
      <c r="B75" s="7">
        <v>45394</v>
      </c>
      <c r="C75" s="8" t="s">
        <v>76</v>
      </c>
      <c r="D75" s="2" t="s">
        <v>43</v>
      </c>
      <c r="E75" s="2" t="s">
        <v>23</v>
      </c>
      <c r="F75" s="2" t="s">
        <v>42</v>
      </c>
      <c r="G75" s="2" t="s">
        <v>12</v>
      </c>
      <c r="H75" s="2">
        <v>10</v>
      </c>
      <c r="I75" s="4">
        <v>18373</v>
      </c>
      <c r="J75" s="4">
        <v>10927</v>
      </c>
      <c r="K75" s="4">
        <f>Tablo1[[#This Row],[Quantity]]*Tablo1[[#This Row],[Unit_Price]]</f>
        <v>183730</v>
      </c>
      <c r="L75" s="4">
        <f>Tablo1[[#This Row],[Sales]]-(Tablo1[[#This Row],[Quantity]]*Tablo1[[#This Row],[Unit_Cost]])</f>
        <v>74460</v>
      </c>
    </row>
    <row r="76" spans="1:12" x14ac:dyDescent="0.3">
      <c r="A76" s="2">
        <v>1075</v>
      </c>
      <c r="B76" s="7">
        <v>45580</v>
      </c>
      <c r="C76" s="8" t="s">
        <v>75</v>
      </c>
      <c r="D76" s="2" t="s">
        <v>44</v>
      </c>
      <c r="E76" s="2" t="s">
        <v>20</v>
      </c>
      <c r="F76" s="2" t="s">
        <v>50</v>
      </c>
      <c r="G76" s="2" t="s">
        <v>28</v>
      </c>
      <c r="H76" s="2">
        <v>5</v>
      </c>
      <c r="I76" s="4">
        <v>1968</v>
      </c>
      <c r="J76" s="4">
        <v>1024</v>
      </c>
      <c r="K76" s="4">
        <f>Tablo1[[#This Row],[Quantity]]*Tablo1[[#This Row],[Unit_Price]]</f>
        <v>9840</v>
      </c>
      <c r="L76" s="4">
        <f>Tablo1[[#This Row],[Sales]]-(Tablo1[[#This Row],[Quantity]]*Tablo1[[#This Row],[Unit_Cost]])</f>
        <v>4720</v>
      </c>
    </row>
    <row r="77" spans="1:12" x14ac:dyDescent="0.3">
      <c r="A77" s="2">
        <v>1076</v>
      </c>
      <c r="B77" s="7">
        <v>45632</v>
      </c>
      <c r="C77" s="8" t="s">
        <v>73</v>
      </c>
      <c r="D77" s="2" t="s">
        <v>32</v>
      </c>
      <c r="E77" s="2" t="s">
        <v>38</v>
      </c>
      <c r="F77" s="2" t="s">
        <v>48</v>
      </c>
      <c r="G77" s="2" t="s">
        <v>34</v>
      </c>
      <c r="H77" s="2">
        <v>10</v>
      </c>
      <c r="I77" s="4">
        <v>2929</v>
      </c>
      <c r="J77" s="4">
        <v>2207</v>
      </c>
      <c r="K77" s="4">
        <f>Tablo1[[#This Row],[Quantity]]*Tablo1[[#This Row],[Unit_Price]]</f>
        <v>29290</v>
      </c>
      <c r="L77" s="4">
        <f>Tablo1[[#This Row],[Sales]]-(Tablo1[[#This Row],[Quantity]]*Tablo1[[#This Row],[Unit_Cost]])</f>
        <v>7220</v>
      </c>
    </row>
    <row r="78" spans="1:12" x14ac:dyDescent="0.3">
      <c r="A78" s="2">
        <v>1077</v>
      </c>
      <c r="B78" s="7">
        <v>45403</v>
      </c>
      <c r="C78" s="8" t="s">
        <v>76</v>
      </c>
      <c r="D78" s="2" t="s">
        <v>22</v>
      </c>
      <c r="E78" s="2" t="s">
        <v>20</v>
      </c>
      <c r="F78" s="2" t="s">
        <v>37</v>
      </c>
      <c r="G78" s="2" t="s">
        <v>28</v>
      </c>
      <c r="H78" s="2">
        <v>10</v>
      </c>
      <c r="I78" s="4">
        <v>1232</v>
      </c>
      <c r="J78" s="4">
        <v>696</v>
      </c>
      <c r="K78" s="4">
        <f>Tablo1[[#This Row],[Quantity]]*Tablo1[[#This Row],[Unit_Price]]</f>
        <v>12320</v>
      </c>
      <c r="L78" s="4">
        <f>Tablo1[[#This Row],[Sales]]-(Tablo1[[#This Row],[Quantity]]*Tablo1[[#This Row],[Unit_Cost]])</f>
        <v>5360</v>
      </c>
    </row>
    <row r="79" spans="1:12" x14ac:dyDescent="0.3">
      <c r="A79" s="2">
        <v>1078</v>
      </c>
      <c r="B79" s="7">
        <v>45500</v>
      </c>
      <c r="C79" s="8" t="s">
        <v>74</v>
      </c>
      <c r="D79" s="2" t="s">
        <v>41</v>
      </c>
      <c r="E79" s="2" t="s">
        <v>38</v>
      </c>
      <c r="F79" s="2" t="s">
        <v>27</v>
      </c>
      <c r="G79" s="2" t="s">
        <v>28</v>
      </c>
      <c r="H79" s="2">
        <v>4</v>
      </c>
      <c r="I79" s="4">
        <v>3391</v>
      </c>
      <c r="J79" s="4">
        <v>2258</v>
      </c>
      <c r="K79" s="4">
        <f>Tablo1[[#This Row],[Quantity]]*Tablo1[[#This Row],[Unit_Price]]</f>
        <v>13564</v>
      </c>
      <c r="L79" s="4">
        <f>Tablo1[[#This Row],[Sales]]-(Tablo1[[#This Row],[Quantity]]*Tablo1[[#This Row],[Unit_Cost]])</f>
        <v>4532</v>
      </c>
    </row>
    <row r="80" spans="1:12" x14ac:dyDescent="0.3">
      <c r="A80" s="2">
        <v>1079</v>
      </c>
      <c r="B80" s="7">
        <v>45374</v>
      </c>
      <c r="C80" s="8" t="s">
        <v>77</v>
      </c>
      <c r="D80" s="2" t="s">
        <v>43</v>
      </c>
      <c r="E80" s="2" t="s">
        <v>26</v>
      </c>
      <c r="F80" s="2" t="s">
        <v>39</v>
      </c>
      <c r="G80" s="2" t="s">
        <v>28</v>
      </c>
      <c r="H80" s="2">
        <v>3</v>
      </c>
      <c r="I80" s="4">
        <v>1488</v>
      </c>
      <c r="J80" s="4">
        <v>832</v>
      </c>
      <c r="K80" s="4">
        <f>Tablo1[[#This Row],[Quantity]]*Tablo1[[#This Row],[Unit_Price]]</f>
        <v>4464</v>
      </c>
      <c r="L80" s="4">
        <f>Tablo1[[#This Row],[Sales]]-(Tablo1[[#This Row],[Quantity]]*Tablo1[[#This Row],[Unit_Cost]])</f>
        <v>1968</v>
      </c>
    </row>
    <row r="81" spans="1:12" x14ac:dyDescent="0.3">
      <c r="A81" s="2">
        <v>1080</v>
      </c>
      <c r="B81" s="7">
        <v>45472</v>
      </c>
      <c r="C81" s="8" t="s">
        <v>75</v>
      </c>
      <c r="D81" s="2" t="s">
        <v>13</v>
      </c>
      <c r="E81" s="2" t="s">
        <v>38</v>
      </c>
      <c r="F81" s="2" t="s">
        <v>11</v>
      </c>
      <c r="G81" s="2" t="s">
        <v>12</v>
      </c>
      <c r="H81" s="2">
        <v>3</v>
      </c>
      <c r="I81" s="4">
        <v>9469</v>
      </c>
      <c r="J81" s="4">
        <v>4950</v>
      </c>
      <c r="K81" s="4">
        <f>Tablo1[[#This Row],[Quantity]]*Tablo1[[#This Row],[Unit_Price]]</f>
        <v>28407</v>
      </c>
      <c r="L81" s="4">
        <f>Tablo1[[#This Row],[Sales]]-(Tablo1[[#This Row],[Quantity]]*Tablo1[[#This Row],[Unit_Cost]])</f>
        <v>13557</v>
      </c>
    </row>
    <row r="82" spans="1:12" x14ac:dyDescent="0.3">
      <c r="A82" s="2">
        <v>1081</v>
      </c>
      <c r="B82" s="7">
        <v>45493</v>
      </c>
      <c r="C82" s="8" t="s">
        <v>76</v>
      </c>
      <c r="D82" s="2" t="s">
        <v>19</v>
      </c>
      <c r="E82" s="2" t="s">
        <v>23</v>
      </c>
      <c r="F82" s="2" t="s">
        <v>39</v>
      </c>
      <c r="G82" s="2" t="s">
        <v>28</v>
      </c>
      <c r="H82" s="2">
        <v>6</v>
      </c>
      <c r="I82" s="4">
        <v>3538</v>
      </c>
      <c r="J82" s="4">
        <v>2717</v>
      </c>
      <c r="K82" s="4">
        <f>Tablo1[[#This Row],[Quantity]]*Tablo1[[#This Row],[Unit_Price]]</f>
        <v>21228</v>
      </c>
      <c r="L82" s="4">
        <f>Tablo1[[#This Row],[Sales]]-(Tablo1[[#This Row],[Quantity]]*Tablo1[[#This Row],[Unit_Cost]])</f>
        <v>4926</v>
      </c>
    </row>
    <row r="83" spans="1:12" x14ac:dyDescent="0.3">
      <c r="A83" s="2">
        <v>1082</v>
      </c>
      <c r="B83" s="7">
        <v>45572</v>
      </c>
      <c r="C83" s="8" t="s">
        <v>75</v>
      </c>
      <c r="D83" s="2" t="s">
        <v>35</v>
      </c>
      <c r="E83" s="2" t="s">
        <v>23</v>
      </c>
      <c r="F83" s="2" t="s">
        <v>14</v>
      </c>
      <c r="G83" s="2" t="s">
        <v>12</v>
      </c>
      <c r="H83" s="2">
        <v>6</v>
      </c>
      <c r="I83" s="4">
        <v>6142</v>
      </c>
      <c r="J83" s="4">
        <v>4285</v>
      </c>
      <c r="K83" s="4">
        <f>Tablo1[[#This Row],[Quantity]]*Tablo1[[#This Row],[Unit_Price]]</f>
        <v>36852</v>
      </c>
      <c r="L83" s="4">
        <f>Tablo1[[#This Row],[Sales]]-(Tablo1[[#This Row],[Quantity]]*Tablo1[[#This Row],[Unit_Cost]])</f>
        <v>11142</v>
      </c>
    </row>
    <row r="84" spans="1:12" x14ac:dyDescent="0.3">
      <c r="A84" s="2">
        <v>1083</v>
      </c>
      <c r="B84" s="7">
        <v>45359</v>
      </c>
      <c r="C84" s="8" t="s">
        <v>74</v>
      </c>
      <c r="D84" s="2" t="s">
        <v>10</v>
      </c>
      <c r="E84" s="2" t="s">
        <v>38</v>
      </c>
      <c r="F84" s="2" t="s">
        <v>50</v>
      </c>
      <c r="G84" s="2" t="s">
        <v>28</v>
      </c>
      <c r="H84" s="2">
        <v>2</v>
      </c>
      <c r="I84" s="4">
        <v>3293</v>
      </c>
      <c r="J84" s="4">
        <v>2503</v>
      </c>
      <c r="K84" s="4">
        <f>Tablo1[[#This Row],[Quantity]]*Tablo1[[#This Row],[Unit_Price]]</f>
        <v>6586</v>
      </c>
      <c r="L84" s="4">
        <f>Tablo1[[#This Row],[Sales]]-(Tablo1[[#This Row],[Quantity]]*Tablo1[[#This Row],[Unit_Cost]])</f>
        <v>1580</v>
      </c>
    </row>
    <row r="85" spans="1:12" x14ac:dyDescent="0.3">
      <c r="A85" s="2">
        <v>1084</v>
      </c>
      <c r="B85" s="7">
        <v>45457</v>
      </c>
      <c r="C85" s="8" t="s">
        <v>73</v>
      </c>
      <c r="D85" s="2" t="s">
        <v>44</v>
      </c>
      <c r="E85" s="2" t="s">
        <v>38</v>
      </c>
      <c r="F85" s="2" t="s">
        <v>11</v>
      </c>
      <c r="G85" s="2" t="s">
        <v>12</v>
      </c>
      <c r="H85" s="2">
        <v>5</v>
      </c>
      <c r="I85" s="4">
        <v>9818</v>
      </c>
      <c r="J85" s="4">
        <v>6013</v>
      </c>
      <c r="K85" s="4">
        <f>Tablo1[[#This Row],[Quantity]]*Tablo1[[#This Row],[Unit_Price]]</f>
        <v>49090</v>
      </c>
      <c r="L85" s="4">
        <f>Tablo1[[#This Row],[Sales]]-(Tablo1[[#This Row],[Quantity]]*Tablo1[[#This Row],[Unit_Cost]])</f>
        <v>19025</v>
      </c>
    </row>
    <row r="86" spans="1:12" x14ac:dyDescent="0.3">
      <c r="A86" s="2">
        <v>1085</v>
      </c>
      <c r="B86" s="7">
        <v>45340</v>
      </c>
      <c r="C86" s="8" t="s">
        <v>73</v>
      </c>
      <c r="D86" s="2" t="s">
        <v>41</v>
      </c>
      <c r="E86" s="2" t="s">
        <v>30</v>
      </c>
      <c r="F86" s="2" t="s">
        <v>45</v>
      </c>
      <c r="G86" s="2" t="s">
        <v>34</v>
      </c>
      <c r="H86" s="2">
        <v>9</v>
      </c>
      <c r="I86" s="4">
        <v>2072</v>
      </c>
      <c r="J86" s="4">
        <v>1580</v>
      </c>
      <c r="K86" s="4">
        <f>Tablo1[[#This Row],[Quantity]]*Tablo1[[#This Row],[Unit_Price]]</f>
        <v>18648</v>
      </c>
      <c r="L86" s="4">
        <f>Tablo1[[#This Row],[Sales]]-(Tablo1[[#This Row],[Quantity]]*Tablo1[[#This Row],[Unit_Cost]])</f>
        <v>4428</v>
      </c>
    </row>
    <row r="87" spans="1:12" x14ac:dyDescent="0.3">
      <c r="A87" s="2">
        <v>1086</v>
      </c>
      <c r="B87" s="7">
        <v>45379</v>
      </c>
      <c r="C87" s="8" t="s">
        <v>75</v>
      </c>
      <c r="D87" s="2" t="s">
        <v>13</v>
      </c>
      <c r="E87" s="2" t="s">
        <v>20</v>
      </c>
      <c r="F87" s="2" t="s">
        <v>46</v>
      </c>
      <c r="G87" s="2" t="s">
        <v>17</v>
      </c>
      <c r="H87" s="2">
        <v>6</v>
      </c>
      <c r="I87" s="4">
        <v>9805</v>
      </c>
      <c r="J87" s="4">
        <v>6634</v>
      </c>
      <c r="K87" s="4">
        <f>Tablo1[[#This Row],[Quantity]]*Tablo1[[#This Row],[Unit_Price]]</f>
        <v>58830</v>
      </c>
      <c r="L87" s="4">
        <f>Tablo1[[#This Row],[Sales]]-(Tablo1[[#This Row],[Quantity]]*Tablo1[[#This Row],[Unit_Cost]])</f>
        <v>19026</v>
      </c>
    </row>
    <row r="88" spans="1:12" x14ac:dyDescent="0.3">
      <c r="A88" s="2">
        <v>1087</v>
      </c>
      <c r="B88" s="7">
        <v>45388</v>
      </c>
      <c r="C88" s="8" t="s">
        <v>74</v>
      </c>
      <c r="D88" s="2" t="s">
        <v>44</v>
      </c>
      <c r="E88" s="2" t="s">
        <v>38</v>
      </c>
      <c r="F88" s="2" t="s">
        <v>39</v>
      </c>
      <c r="G88" s="2" t="s">
        <v>28</v>
      </c>
      <c r="H88" s="2">
        <v>6</v>
      </c>
      <c r="I88" s="4">
        <v>3002</v>
      </c>
      <c r="J88" s="4">
        <v>2202</v>
      </c>
      <c r="K88" s="4">
        <f>Tablo1[[#This Row],[Quantity]]*Tablo1[[#This Row],[Unit_Price]]</f>
        <v>18012</v>
      </c>
      <c r="L88" s="4">
        <f>Tablo1[[#This Row],[Sales]]-(Tablo1[[#This Row],[Quantity]]*Tablo1[[#This Row],[Unit_Cost]])</f>
        <v>4800</v>
      </c>
    </row>
    <row r="89" spans="1:12" x14ac:dyDescent="0.3">
      <c r="A89" s="2">
        <v>1088</v>
      </c>
      <c r="B89" s="7">
        <v>45503</v>
      </c>
      <c r="C89" s="8" t="s">
        <v>76</v>
      </c>
      <c r="D89" s="2" t="s">
        <v>13</v>
      </c>
      <c r="E89" s="2" t="s">
        <v>20</v>
      </c>
      <c r="F89" s="2" t="s">
        <v>27</v>
      </c>
      <c r="G89" s="2" t="s">
        <v>28</v>
      </c>
      <c r="H89" s="2">
        <v>2</v>
      </c>
      <c r="I89" s="4">
        <v>1105</v>
      </c>
      <c r="J89" s="4">
        <v>624</v>
      </c>
      <c r="K89" s="4">
        <f>Tablo1[[#This Row],[Quantity]]*Tablo1[[#This Row],[Unit_Price]]</f>
        <v>2210</v>
      </c>
      <c r="L89" s="4">
        <f>Tablo1[[#This Row],[Sales]]-(Tablo1[[#This Row],[Quantity]]*Tablo1[[#This Row],[Unit_Cost]])</f>
        <v>962</v>
      </c>
    </row>
    <row r="90" spans="1:12" x14ac:dyDescent="0.3">
      <c r="A90" s="2">
        <v>1089</v>
      </c>
      <c r="B90" s="7">
        <v>45654</v>
      </c>
      <c r="C90" s="8" t="s">
        <v>75</v>
      </c>
      <c r="D90" s="2" t="s">
        <v>44</v>
      </c>
      <c r="E90" s="2" t="s">
        <v>20</v>
      </c>
      <c r="F90" s="2" t="s">
        <v>11</v>
      </c>
      <c r="G90" s="2" t="s">
        <v>12</v>
      </c>
      <c r="H90" s="2">
        <v>9</v>
      </c>
      <c r="I90" s="4">
        <v>8515</v>
      </c>
      <c r="J90" s="4">
        <v>4605</v>
      </c>
      <c r="K90" s="4">
        <f>Tablo1[[#This Row],[Quantity]]*Tablo1[[#This Row],[Unit_Price]]</f>
        <v>76635</v>
      </c>
      <c r="L90" s="4">
        <f>Tablo1[[#This Row],[Sales]]-(Tablo1[[#This Row],[Quantity]]*Tablo1[[#This Row],[Unit_Cost]])</f>
        <v>35190</v>
      </c>
    </row>
    <row r="91" spans="1:12" x14ac:dyDescent="0.3">
      <c r="A91" s="2">
        <v>1090</v>
      </c>
      <c r="B91" s="7">
        <v>45574</v>
      </c>
      <c r="C91" s="8" t="s">
        <v>73</v>
      </c>
      <c r="D91" s="2" t="s">
        <v>41</v>
      </c>
      <c r="E91" s="2" t="s">
        <v>38</v>
      </c>
      <c r="F91" s="2" t="s">
        <v>39</v>
      </c>
      <c r="G91" s="2" t="s">
        <v>28</v>
      </c>
      <c r="H91" s="2">
        <v>1</v>
      </c>
      <c r="I91" s="4">
        <v>3223</v>
      </c>
      <c r="J91" s="4">
        <v>2234</v>
      </c>
      <c r="K91" s="4">
        <f>Tablo1[[#This Row],[Quantity]]*Tablo1[[#This Row],[Unit_Price]]</f>
        <v>3223</v>
      </c>
      <c r="L91" s="4">
        <f>Tablo1[[#This Row],[Sales]]-(Tablo1[[#This Row],[Quantity]]*Tablo1[[#This Row],[Unit_Cost]])</f>
        <v>989</v>
      </c>
    </row>
    <row r="92" spans="1:12" x14ac:dyDescent="0.3">
      <c r="A92" s="2">
        <v>1091</v>
      </c>
      <c r="B92" s="7">
        <v>45618</v>
      </c>
      <c r="C92" s="8" t="s">
        <v>76</v>
      </c>
      <c r="D92" s="2" t="s">
        <v>44</v>
      </c>
      <c r="E92" s="2" t="s">
        <v>20</v>
      </c>
      <c r="F92" s="2" t="s">
        <v>29</v>
      </c>
      <c r="G92" s="2" t="s">
        <v>25</v>
      </c>
      <c r="H92" s="2">
        <v>3</v>
      </c>
      <c r="I92" s="4">
        <v>4289</v>
      </c>
      <c r="J92" s="4">
        <v>2761</v>
      </c>
      <c r="K92" s="4">
        <f>Tablo1[[#This Row],[Quantity]]*Tablo1[[#This Row],[Unit_Price]]</f>
        <v>12867</v>
      </c>
      <c r="L92" s="4">
        <f>Tablo1[[#This Row],[Sales]]-(Tablo1[[#This Row],[Quantity]]*Tablo1[[#This Row],[Unit_Cost]])</f>
        <v>4584</v>
      </c>
    </row>
    <row r="93" spans="1:12" x14ac:dyDescent="0.3">
      <c r="A93" s="2">
        <v>1092</v>
      </c>
      <c r="B93" s="7">
        <v>45648</v>
      </c>
      <c r="C93" s="8" t="s">
        <v>74</v>
      </c>
      <c r="D93" s="2" t="s">
        <v>43</v>
      </c>
      <c r="E93" s="2" t="s">
        <v>20</v>
      </c>
      <c r="F93" s="2" t="s">
        <v>48</v>
      </c>
      <c r="G93" s="2" t="s">
        <v>34</v>
      </c>
      <c r="H93" s="2">
        <v>7</v>
      </c>
      <c r="I93" s="4">
        <v>4616</v>
      </c>
      <c r="J93" s="4">
        <v>3067</v>
      </c>
      <c r="K93" s="4">
        <f>Tablo1[[#This Row],[Quantity]]*Tablo1[[#This Row],[Unit_Price]]</f>
        <v>32312</v>
      </c>
      <c r="L93" s="4">
        <f>Tablo1[[#This Row],[Sales]]-(Tablo1[[#This Row],[Quantity]]*Tablo1[[#This Row],[Unit_Cost]])</f>
        <v>10843</v>
      </c>
    </row>
    <row r="94" spans="1:12" x14ac:dyDescent="0.3">
      <c r="A94" s="2">
        <v>1093</v>
      </c>
      <c r="B94" s="7">
        <v>45648</v>
      </c>
      <c r="C94" s="8" t="s">
        <v>77</v>
      </c>
      <c r="D94" s="2" t="s">
        <v>13</v>
      </c>
      <c r="E94" s="2" t="s">
        <v>26</v>
      </c>
      <c r="F94" s="2" t="s">
        <v>40</v>
      </c>
      <c r="G94" s="2" t="s">
        <v>25</v>
      </c>
      <c r="H94" s="2">
        <v>5</v>
      </c>
      <c r="I94" s="4">
        <v>2008</v>
      </c>
      <c r="J94" s="4">
        <v>1243</v>
      </c>
      <c r="K94" s="4">
        <f>Tablo1[[#This Row],[Quantity]]*Tablo1[[#This Row],[Unit_Price]]</f>
        <v>10040</v>
      </c>
      <c r="L94" s="4">
        <f>Tablo1[[#This Row],[Sales]]-(Tablo1[[#This Row],[Quantity]]*Tablo1[[#This Row],[Unit_Cost]])</f>
        <v>3825</v>
      </c>
    </row>
    <row r="95" spans="1:12" x14ac:dyDescent="0.3">
      <c r="A95" s="2">
        <v>1094</v>
      </c>
      <c r="B95" s="7">
        <v>45524</v>
      </c>
      <c r="C95" s="8" t="s">
        <v>75</v>
      </c>
      <c r="D95" s="2" t="s">
        <v>13</v>
      </c>
      <c r="E95" s="2" t="s">
        <v>26</v>
      </c>
      <c r="F95" s="2" t="s">
        <v>40</v>
      </c>
      <c r="G95" s="2" t="s">
        <v>25</v>
      </c>
      <c r="H95" s="2">
        <v>10</v>
      </c>
      <c r="I95" s="4">
        <v>6696</v>
      </c>
      <c r="J95" s="4">
        <v>4884</v>
      </c>
      <c r="K95" s="4">
        <f>Tablo1[[#This Row],[Quantity]]*Tablo1[[#This Row],[Unit_Price]]</f>
        <v>66960</v>
      </c>
      <c r="L95" s="4">
        <f>Tablo1[[#This Row],[Sales]]-(Tablo1[[#This Row],[Quantity]]*Tablo1[[#This Row],[Unit_Cost]])</f>
        <v>18120</v>
      </c>
    </row>
    <row r="96" spans="1:12" x14ac:dyDescent="0.3">
      <c r="A96" s="2">
        <v>1095</v>
      </c>
      <c r="B96" s="7">
        <v>45516</v>
      </c>
      <c r="C96" s="8" t="s">
        <v>76</v>
      </c>
      <c r="D96" s="2" t="s">
        <v>13</v>
      </c>
      <c r="E96" s="2" t="s">
        <v>38</v>
      </c>
      <c r="F96" s="2" t="s">
        <v>27</v>
      </c>
      <c r="G96" s="2" t="s">
        <v>28</v>
      </c>
      <c r="H96" s="2">
        <v>2</v>
      </c>
      <c r="I96" s="4">
        <v>575</v>
      </c>
      <c r="J96" s="4">
        <v>339</v>
      </c>
      <c r="K96" s="4">
        <f>Tablo1[[#This Row],[Quantity]]*Tablo1[[#This Row],[Unit_Price]]</f>
        <v>1150</v>
      </c>
      <c r="L96" s="4">
        <f>Tablo1[[#This Row],[Sales]]-(Tablo1[[#This Row],[Quantity]]*Tablo1[[#This Row],[Unit_Cost]])</f>
        <v>472</v>
      </c>
    </row>
    <row r="97" spans="1:12" x14ac:dyDescent="0.3">
      <c r="A97" s="2">
        <v>1096</v>
      </c>
      <c r="B97" s="7">
        <v>45371</v>
      </c>
      <c r="C97" s="8" t="s">
        <v>75</v>
      </c>
      <c r="D97" s="2" t="s">
        <v>22</v>
      </c>
      <c r="E97" s="2" t="s">
        <v>23</v>
      </c>
      <c r="F97" s="2" t="s">
        <v>47</v>
      </c>
      <c r="G97" s="2" t="s">
        <v>25</v>
      </c>
      <c r="H97" s="2">
        <v>10</v>
      </c>
      <c r="I97" s="4">
        <v>3285</v>
      </c>
      <c r="J97" s="4">
        <v>1860</v>
      </c>
      <c r="K97" s="4">
        <f>Tablo1[[#This Row],[Quantity]]*Tablo1[[#This Row],[Unit_Price]]</f>
        <v>32850</v>
      </c>
      <c r="L97" s="4">
        <f>Tablo1[[#This Row],[Sales]]-(Tablo1[[#This Row],[Quantity]]*Tablo1[[#This Row],[Unit_Cost]])</f>
        <v>14250</v>
      </c>
    </row>
    <row r="98" spans="1:12" x14ac:dyDescent="0.3">
      <c r="A98" s="2">
        <v>1097</v>
      </c>
      <c r="B98" s="7">
        <v>45455</v>
      </c>
      <c r="C98" s="8" t="s">
        <v>74</v>
      </c>
      <c r="D98" s="2" t="s">
        <v>32</v>
      </c>
      <c r="E98" s="2" t="s">
        <v>38</v>
      </c>
      <c r="F98" s="2" t="s">
        <v>21</v>
      </c>
      <c r="G98" s="2" t="s">
        <v>17</v>
      </c>
      <c r="H98" s="2">
        <v>4</v>
      </c>
      <c r="I98" s="4">
        <v>11934</v>
      </c>
      <c r="J98" s="4">
        <v>8900</v>
      </c>
      <c r="K98" s="4">
        <f>Tablo1[[#This Row],[Quantity]]*Tablo1[[#This Row],[Unit_Price]]</f>
        <v>47736</v>
      </c>
      <c r="L98" s="4">
        <f>Tablo1[[#This Row],[Sales]]-(Tablo1[[#This Row],[Quantity]]*Tablo1[[#This Row],[Unit_Cost]])</f>
        <v>12136</v>
      </c>
    </row>
    <row r="99" spans="1:12" x14ac:dyDescent="0.3">
      <c r="A99" s="2">
        <v>1098</v>
      </c>
      <c r="B99" s="7">
        <v>45449</v>
      </c>
      <c r="C99" s="8" t="s">
        <v>73</v>
      </c>
      <c r="D99" s="2" t="s">
        <v>43</v>
      </c>
      <c r="E99" s="2" t="s">
        <v>26</v>
      </c>
      <c r="F99" s="2" t="s">
        <v>24</v>
      </c>
      <c r="G99" s="2" t="s">
        <v>25</v>
      </c>
      <c r="H99" s="2">
        <v>8</v>
      </c>
      <c r="I99" s="4">
        <v>5025</v>
      </c>
      <c r="J99" s="4">
        <v>2724</v>
      </c>
      <c r="K99" s="4">
        <f>Tablo1[[#This Row],[Quantity]]*Tablo1[[#This Row],[Unit_Price]]</f>
        <v>40200</v>
      </c>
      <c r="L99" s="4">
        <f>Tablo1[[#This Row],[Sales]]-(Tablo1[[#This Row],[Quantity]]*Tablo1[[#This Row],[Unit_Cost]])</f>
        <v>18408</v>
      </c>
    </row>
    <row r="100" spans="1:12" x14ac:dyDescent="0.3">
      <c r="A100" s="2">
        <v>1099</v>
      </c>
      <c r="B100" s="7">
        <v>45306</v>
      </c>
      <c r="C100" s="8" t="s">
        <v>73</v>
      </c>
      <c r="D100" s="2" t="s">
        <v>41</v>
      </c>
      <c r="E100" s="2" t="s">
        <v>38</v>
      </c>
      <c r="F100" s="2" t="s">
        <v>33</v>
      </c>
      <c r="G100" s="2" t="s">
        <v>34</v>
      </c>
      <c r="H100" s="2">
        <v>10</v>
      </c>
      <c r="I100" s="4">
        <v>724</v>
      </c>
      <c r="J100" s="4">
        <v>432</v>
      </c>
      <c r="K100" s="4">
        <f>Tablo1[[#This Row],[Quantity]]*Tablo1[[#This Row],[Unit_Price]]</f>
        <v>7240</v>
      </c>
      <c r="L100" s="4">
        <f>Tablo1[[#This Row],[Sales]]-(Tablo1[[#This Row],[Quantity]]*Tablo1[[#This Row],[Unit_Cost]])</f>
        <v>2920</v>
      </c>
    </row>
    <row r="101" spans="1:12" x14ac:dyDescent="0.3">
      <c r="A101" s="2">
        <v>1100</v>
      </c>
      <c r="B101" s="7">
        <v>45306</v>
      </c>
      <c r="C101" s="8" t="s">
        <v>75</v>
      </c>
      <c r="D101" s="2" t="s">
        <v>35</v>
      </c>
      <c r="E101" s="2" t="s">
        <v>20</v>
      </c>
      <c r="F101" s="2" t="s">
        <v>27</v>
      </c>
      <c r="G101" s="2" t="s">
        <v>28</v>
      </c>
      <c r="H101" s="2">
        <v>4</v>
      </c>
      <c r="I101" s="4">
        <v>335</v>
      </c>
      <c r="J101" s="4">
        <v>249</v>
      </c>
      <c r="K101" s="4">
        <f>Tablo1[[#This Row],[Quantity]]*Tablo1[[#This Row],[Unit_Price]]</f>
        <v>1340</v>
      </c>
      <c r="L101" s="4">
        <f>Tablo1[[#This Row],[Sales]]-(Tablo1[[#This Row],[Quantity]]*Tablo1[[#This Row],[Unit_Cost]])</f>
        <v>344</v>
      </c>
    </row>
    <row r="102" spans="1:12" x14ac:dyDescent="0.3">
      <c r="A102" s="2">
        <v>1101</v>
      </c>
      <c r="B102" s="7">
        <v>45432</v>
      </c>
      <c r="C102" s="8" t="s">
        <v>74</v>
      </c>
      <c r="D102" s="2" t="s">
        <v>10</v>
      </c>
      <c r="E102" s="2" t="s">
        <v>20</v>
      </c>
      <c r="F102" s="2" t="s">
        <v>27</v>
      </c>
      <c r="G102" s="2" t="s">
        <v>28</v>
      </c>
      <c r="H102" s="2">
        <v>1</v>
      </c>
      <c r="I102" s="4">
        <v>3682</v>
      </c>
      <c r="J102" s="4">
        <v>2501</v>
      </c>
      <c r="K102" s="4">
        <f>Tablo1[[#This Row],[Quantity]]*Tablo1[[#This Row],[Unit_Price]]</f>
        <v>3682</v>
      </c>
      <c r="L102" s="4">
        <f>Tablo1[[#This Row],[Sales]]-(Tablo1[[#This Row],[Quantity]]*Tablo1[[#This Row],[Unit_Cost]])</f>
        <v>1181</v>
      </c>
    </row>
    <row r="103" spans="1:12" x14ac:dyDescent="0.3">
      <c r="A103" s="2">
        <v>1102</v>
      </c>
      <c r="B103" s="7">
        <v>45623</v>
      </c>
      <c r="C103" s="8" t="s">
        <v>76</v>
      </c>
      <c r="D103" s="2" t="s">
        <v>44</v>
      </c>
      <c r="E103" s="2" t="s">
        <v>20</v>
      </c>
      <c r="F103" s="2" t="s">
        <v>16</v>
      </c>
      <c r="G103" s="2" t="s">
        <v>17</v>
      </c>
      <c r="H103" s="2">
        <v>1</v>
      </c>
      <c r="I103" s="4">
        <v>4788</v>
      </c>
      <c r="J103" s="4">
        <v>2717</v>
      </c>
      <c r="K103" s="4">
        <f>Tablo1[[#This Row],[Quantity]]*Tablo1[[#This Row],[Unit_Price]]</f>
        <v>4788</v>
      </c>
      <c r="L103" s="4">
        <f>Tablo1[[#This Row],[Sales]]-(Tablo1[[#This Row],[Quantity]]*Tablo1[[#This Row],[Unit_Cost]])</f>
        <v>2071</v>
      </c>
    </row>
    <row r="104" spans="1:12" x14ac:dyDescent="0.3">
      <c r="A104" s="2">
        <v>1103</v>
      </c>
      <c r="B104" s="7">
        <v>45521</v>
      </c>
      <c r="C104" s="8" t="s">
        <v>75</v>
      </c>
      <c r="D104" s="2" t="s">
        <v>41</v>
      </c>
      <c r="E104" s="2" t="s">
        <v>30</v>
      </c>
      <c r="F104" s="2" t="s">
        <v>37</v>
      </c>
      <c r="G104" s="2" t="s">
        <v>28</v>
      </c>
      <c r="H104" s="2">
        <v>7</v>
      </c>
      <c r="I104" s="4">
        <v>2539</v>
      </c>
      <c r="J104" s="4">
        <v>1317</v>
      </c>
      <c r="K104" s="4">
        <f>Tablo1[[#This Row],[Quantity]]*Tablo1[[#This Row],[Unit_Price]]</f>
        <v>17773</v>
      </c>
      <c r="L104" s="4">
        <f>Tablo1[[#This Row],[Sales]]-(Tablo1[[#This Row],[Quantity]]*Tablo1[[#This Row],[Unit_Cost]])</f>
        <v>8554</v>
      </c>
    </row>
    <row r="105" spans="1:12" x14ac:dyDescent="0.3">
      <c r="A105" s="2">
        <v>1104</v>
      </c>
      <c r="B105" s="7">
        <v>45416</v>
      </c>
      <c r="C105" s="8" t="s">
        <v>73</v>
      </c>
      <c r="D105" s="2" t="s">
        <v>32</v>
      </c>
      <c r="E105" s="2" t="s">
        <v>30</v>
      </c>
      <c r="F105" s="2" t="s">
        <v>21</v>
      </c>
      <c r="G105" s="2" t="s">
        <v>17</v>
      </c>
      <c r="H105" s="2">
        <v>4</v>
      </c>
      <c r="I105" s="4">
        <v>10857</v>
      </c>
      <c r="J105" s="4">
        <v>7876</v>
      </c>
      <c r="K105" s="4">
        <f>Tablo1[[#This Row],[Quantity]]*Tablo1[[#This Row],[Unit_Price]]</f>
        <v>43428</v>
      </c>
      <c r="L105" s="4">
        <f>Tablo1[[#This Row],[Sales]]-(Tablo1[[#This Row],[Quantity]]*Tablo1[[#This Row],[Unit_Cost]])</f>
        <v>11924</v>
      </c>
    </row>
    <row r="106" spans="1:12" x14ac:dyDescent="0.3">
      <c r="A106" s="2">
        <v>1105</v>
      </c>
      <c r="B106" s="7">
        <v>45414</v>
      </c>
      <c r="C106" s="8" t="s">
        <v>76</v>
      </c>
      <c r="D106" s="2" t="s">
        <v>32</v>
      </c>
      <c r="E106" s="2" t="s">
        <v>23</v>
      </c>
      <c r="F106" s="2" t="s">
        <v>50</v>
      </c>
      <c r="G106" s="2" t="s">
        <v>28</v>
      </c>
      <c r="H106" s="2">
        <v>3</v>
      </c>
      <c r="I106" s="4">
        <v>3555</v>
      </c>
      <c r="J106" s="4">
        <v>2737</v>
      </c>
      <c r="K106" s="4">
        <f>Tablo1[[#This Row],[Quantity]]*Tablo1[[#This Row],[Unit_Price]]</f>
        <v>10665</v>
      </c>
      <c r="L106" s="4">
        <f>Tablo1[[#This Row],[Sales]]-(Tablo1[[#This Row],[Quantity]]*Tablo1[[#This Row],[Unit_Cost]])</f>
        <v>2454</v>
      </c>
    </row>
    <row r="107" spans="1:12" x14ac:dyDescent="0.3">
      <c r="A107" s="2">
        <v>1106</v>
      </c>
      <c r="B107" s="7">
        <v>45323</v>
      </c>
      <c r="C107" s="8" t="s">
        <v>74</v>
      </c>
      <c r="D107" s="2" t="s">
        <v>43</v>
      </c>
      <c r="E107" s="2" t="s">
        <v>38</v>
      </c>
      <c r="F107" s="2" t="s">
        <v>42</v>
      </c>
      <c r="G107" s="2" t="s">
        <v>12</v>
      </c>
      <c r="H107" s="2">
        <v>10</v>
      </c>
      <c r="I107" s="4">
        <v>6130</v>
      </c>
      <c r="J107" s="4">
        <v>3323</v>
      </c>
      <c r="K107" s="4">
        <f>Tablo1[[#This Row],[Quantity]]*Tablo1[[#This Row],[Unit_Price]]</f>
        <v>61300</v>
      </c>
      <c r="L107" s="4">
        <f>Tablo1[[#This Row],[Sales]]-(Tablo1[[#This Row],[Quantity]]*Tablo1[[#This Row],[Unit_Cost]])</f>
        <v>28070</v>
      </c>
    </row>
    <row r="108" spans="1:12" x14ac:dyDescent="0.3">
      <c r="A108" s="2">
        <v>1107</v>
      </c>
      <c r="B108" s="7">
        <v>45317</v>
      </c>
      <c r="C108" s="8" t="s">
        <v>77</v>
      </c>
      <c r="D108" s="2" t="s">
        <v>10</v>
      </c>
      <c r="E108" s="2" t="s">
        <v>38</v>
      </c>
      <c r="F108" s="2" t="s">
        <v>29</v>
      </c>
      <c r="G108" s="2" t="s">
        <v>25</v>
      </c>
      <c r="H108" s="2">
        <v>2</v>
      </c>
      <c r="I108" s="4">
        <v>7642</v>
      </c>
      <c r="J108" s="4">
        <v>4812</v>
      </c>
      <c r="K108" s="4">
        <f>Tablo1[[#This Row],[Quantity]]*Tablo1[[#This Row],[Unit_Price]]</f>
        <v>15284</v>
      </c>
      <c r="L108" s="4">
        <f>Tablo1[[#This Row],[Sales]]-(Tablo1[[#This Row],[Quantity]]*Tablo1[[#This Row],[Unit_Cost]])</f>
        <v>5660</v>
      </c>
    </row>
    <row r="109" spans="1:12" x14ac:dyDescent="0.3">
      <c r="A109" s="2">
        <v>1108</v>
      </c>
      <c r="B109" s="7">
        <v>45634</v>
      </c>
      <c r="C109" s="8" t="s">
        <v>75</v>
      </c>
      <c r="D109" s="2" t="s">
        <v>32</v>
      </c>
      <c r="E109" s="2" t="s">
        <v>30</v>
      </c>
      <c r="F109" s="2" t="s">
        <v>40</v>
      </c>
      <c r="G109" s="2" t="s">
        <v>25</v>
      </c>
      <c r="H109" s="2">
        <v>9</v>
      </c>
      <c r="I109" s="4">
        <v>7445</v>
      </c>
      <c r="J109" s="4">
        <v>5306</v>
      </c>
      <c r="K109" s="4">
        <f>Tablo1[[#This Row],[Quantity]]*Tablo1[[#This Row],[Unit_Price]]</f>
        <v>67005</v>
      </c>
      <c r="L109" s="4">
        <f>Tablo1[[#This Row],[Sales]]-(Tablo1[[#This Row],[Quantity]]*Tablo1[[#This Row],[Unit_Cost]])</f>
        <v>19251</v>
      </c>
    </row>
    <row r="110" spans="1:12" x14ac:dyDescent="0.3">
      <c r="A110" s="2">
        <v>1109</v>
      </c>
      <c r="B110" s="7">
        <v>45356</v>
      </c>
      <c r="C110" s="8" t="s">
        <v>76</v>
      </c>
      <c r="D110" s="2" t="s">
        <v>15</v>
      </c>
      <c r="E110" s="2" t="s">
        <v>23</v>
      </c>
      <c r="F110" s="2" t="s">
        <v>42</v>
      </c>
      <c r="G110" s="2" t="s">
        <v>12</v>
      </c>
      <c r="H110" s="2">
        <v>3</v>
      </c>
      <c r="I110" s="4">
        <v>23152</v>
      </c>
      <c r="J110" s="4">
        <v>17873</v>
      </c>
      <c r="K110" s="4">
        <f>Tablo1[[#This Row],[Quantity]]*Tablo1[[#This Row],[Unit_Price]]</f>
        <v>69456</v>
      </c>
      <c r="L110" s="4">
        <f>Tablo1[[#This Row],[Sales]]-(Tablo1[[#This Row],[Quantity]]*Tablo1[[#This Row],[Unit_Cost]])</f>
        <v>15837</v>
      </c>
    </row>
    <row r="111" spans="1:12" x14ac:dyDescent="0.3">
      <c r="A111" s="2">
        <v>1110</v>
      </c>
      <c r="B111" s="7">
        <v>45301</v>
      </c>
      <c r="C111" s="8" t="s">
        <v>75</v>
      </c>
      <c r="D111" s="2" t="s">
        <v>41</v>
      </c>
      <c r="E111" s="2" t="s">
        <v>23</v>
      </c>
      <c r="F111" s="2" t="s">
        <v>16</v>
      </c>
      <c r="G111" s="2" t="s">
        <v>17</v>
      </c>
      <c r="H111" s="2">
        <v>2</v>
      </c>
      <c r="I111" s="4">
        <v>5826</v>
      </c>
      <c r="J111" s="4">
        <v>3697</v>
      </c>
      <c r="K111" s="4">
        <f>Tablo1[[#This Row],[Quantity]]*Tablo1[[#This Row],[Unit_Price]]</f>
        <v>11652</v>
      </c>
      <c r="L111" s="4">
        <f>Tablo1[[#This Row],[Sales]]-(Tablo1[[#This Row],[Quantity]]*Tablo1[[#This Row],[Unit_Cost]])</f>
        <v>4258</v>
      </c>
    </row>
    <row r="112" spans="1:12" x14ac:dyDescent="0.3">
      <c r="A112" s="2">
        <v>1111</v>
      </c>
      <c r="B112" s="7">
        <v>45311</v>
      </c>
      <c r="C112" s="8" t="s">
        <v>74</v>
      </c>
      <c r="D112" s="2" t="s">
        <v>44</v>
      </c>
      <c r="E112" s="2" t="s">
        <v>30</v>
      </c>
      <c r="F112" s="2" t="s">
        <v>24</v>
      </c>
      <c r="G112" s="2" t="s">
        <v>25</v>
      </c>
      <c r="H112" s="2">
        <v>3</v>
      </c>
      <c r="I112" s="4">
        <v>7623</v>
      </c>
      <c r="J112" s="4">
        <v>5615</v>
      </c>
      <c r="K112" s="4">
        <f>Tablo1[[#This Row],[Quantity]]*Tablo1[[#This Row],[Unit_Price]]</f>
        <v>22869</v>
      </c>
      <c r="L112" s="4">
        <f>Tablo1[[#This Row],[Sales]]-(Tablo1[[#This Row],[Quantity]]*Tablo1[[#This Row],[Unit_Cost]])</f>
        <v>6024</v>
      </c>
    </row>
    <row r="113" spans="1:12" x14ac:dyDescent="0.3">
      <c r="A113" s="2">
        <v>1112</v>
      </c>
      <c r="B113" s="7">
        <v>45462</v>
      </c>
      <c r="C113" s="8" t="s">
        <v>73</v>
      </c>
      <c r="D113" s="2" t="s">
        <v>22</v>
      </c>
      <c r="E113" s="2" t="s">
        <v>20</v>
      </c>
      <c r="F113" s="2" t="s">
        <v>11</v>
      </c>
      <c r="G113" s="2" t="s">
        <v>12</v>
      </c>
      <c r="H113" s="2">
        <v>1</v>
      </c>
      <c r="I113" s="4">
        <v>6870</v>
      </c>
      <c r="J113" s="4">
        <v>5138</v>
      </c>
      <c r="K113" s="4">
        <f>Tablo1[[#This Row],[Quantity]]*Tablo1[[#This Row],[Unit_Price]]</f>
        <v>6870</v>
      </c>
      <c r="L113" s="4">
        <f>Tablo1[[#This Row],[Sales]]-(Tablo1[[#This Row],[Quantity]]*Tablo1[[#This Row],[Unit_Cost]])</f>
        <v>1732</v>
      </c>
    </row>
    <row r="114" spans="1:12" x14ac:dyDescent="0.3">
      <c r="A114" s="2">
        <v>1113</v>
      </c>
      <c r="B114" s="7">
        <v>45571</v>
      </c>
      <c r="C114" s="8" t="s">
        <v>73</v>
      </c>
      <c r="D114" s="2" t="s">
        <v>43</v>
      </c>
      <c r="E114" s="2" t="s">
        <v>23</v>
      </c>
      <c r="F114" s="2" t="s">
        <v>50</v>
      </c>
      <c r="G114" s="2" t="s">
        <v>28</v>
      </c>
      <c r="H114" s="2">
        <v>5</v>
      </c>
      <c r="I114" s="4">
        <v>3559</v>
      </c>
      <c r="J114" s="4">
        <v>2697</v>
      </c>
      <c r="K114" s="4">
        <f>Tablo1[[#This Row],[Quantity]]*Tablo1[[#This Row],[Unit_Price]]</f>
        <v>17795</v>
      </c>
      <c r="L114" s="4">
        <f>Tablo1[[#This Row],[Sales]]-(Tablo1[[#This Row],[Quantity]]*Tablo1[[#This Row],[Unit_Cost]])</f>
        <v>4310</v>
      </c>
    </row>
    <row r="115" spans="1:12" x14ac:dyDescent="0.3">
      <c r="A115" s="2">
        <v>1114</v>
      </c>
      <c r="B115" s="7">
        <v>45396</v>
      </c>
      <c r="C115" s="8" t="s">
        <v>75</v>
      </c>
      <c r="D115" s="2" t="s">
        <v>32</v>
      </c>
      <c r="E115" s="2" t="s">
        <v>23</v>
      </c>
      <c r="F115" s="2" t="s">
        <v>21</v>
      </c>
      <c r="G115" s="2" t="s">
        <v>17</v>
      </c>
      <c r="H115" s="2">
        <v>8</v>
      </c>
      <c r="I115" s="4">
        <v>3692</v>
      </c>
      <c r="J115" s="4">
        <v>2137</v>
      </c>
      <c r="K115" s="4">
        <f>Tablo1[[#This Row],[Quantity]]*Tablo1[[#This Row],[Unit_Price]]</f>
        <v>29536</v>
      </c>
      <c r="L115" s="4">
        <f>Tablo1[[#This Row],[Sales]]-(Tablo1[[#This Row],[Quantity]]*Tablo1[[#This Row],[Unit_Cost]])</f>
        <v>12440</v>
      </c>
    </row>
    <row r="116" spans="1:12" x14ac:dyDescent="0.3">
      <c r="A116" s="2">
        <v>1115</v>
      </c>
      <c r="B116" s="7">
        <v>45372</v>
      </c>
      <c r="C116" s="8" t="s">
        <v>74</v>
      </c>
      <c r="D116" s="2" t="s">
        <v>22</v>
      </c>
      <c r="E116" s="2" t="s">
        <v>20</v>
      </c>
      <c r="F116" s="2" t="s">
        <v>40</v>
      </c>
      <c r="G116" s="2" t="s">
        <v>25</v>
      </c>
      <c r="H116" s="2">
        <v>4</v>
      </c>
      <c r="I116" s="4">
        <v>3111</v>
      </c>
      <c r="J116" s="4">
        <v>2102</v>
      </c>
      <c r="K116" s="4">
        <f>Tablo1[[#This Row],[Quantity]]*Tablo1[[#This Row],[Unit_Price]]</f>
        <v>12444</v>
      </c>
      <c r="L116" s="4">
        <f>Tablo1[[#This Row],[Sales]]-(Tablo1[[#This Row],[Quantity]]*Tablo1[[#This Row],[Unit_Cost]])</f>
        <v>4036</v>
      </c>
    </row>
    <row r="117" spans="1:12" x14ac:dyDescent="0.3">
      <c r="A117" s="2">
        <v>1116</v>
      </c>
      <c r="B117" s="7">
        <v>45344</v>
      </c>
      <c r="C117" s="8" t="s">
        <v>76</v>
      </c>
      <c r="D117" s="2" t="s">
        <v>22</v>
      </c>
      <c r="E117" s="2" t="s">
        <v>38</v>
      </c>
      <c r="F117" s="2" t="s">
        <v>47</v>
      </c>
      <c r="G117" s="2" t="s">
        <v>25</v>
      </c>
      <c r="H117" s="2">
        <v>8</v>
      </c>
      <c r="I117" s="4">
        <v>6145</v>
      </c>
      <c r="J117" s="4">
        <v>3964</v>
      </c>
      <c r="K117" s="4">
        <f>Tablo1[[#This Row],[Quantity]]*Tablo1[[#This Row],[Unit_Price]]</f>
        <v>49160</v>
      </c>
      <c r="L117" s="4">
        <f>Tablo1[[#This Row],[Sales]]-(Tablo1[[#This Row],[Quantity]]*Tablo1[[#This Row],[Unit_Cost]])</f>
        <v>17448</v>
      </c>
    </row>
    <row r="118" spans="1:12" x14ac:dyDescent="0.3">
      <c r="A118" s="2">
        <v>1117</v>
      </c>
      <c r="B118" s="7">
        <v>45484</v>
      </c>
      <c r="C118" s="8" t="s">
        <v>75</v>
      </c>
      <c r="D118" s="2" t="s">
        <v>35</v>
      </c>
      <c r="E118" s="2" t="s">
        <v>38</v>
      </c>
      <c r="F118" s="2" t="s">
        <v>33</v>
      </c>
      <c r="G118" s="2" t="s">
        <v>34</v>
      </c>
      <c r="H118" s="2">
        <v>8</v>
      </c>
      <c r="I118" s="4">
        <v>1767</v>
      </c>
      <c r="J118" s="4">
        <v>1384</v>
      </c>
      <c r="K118" s="4">
        <f>Tablo1[[#This Row],[Quantity]]*Tablo1[[#This Row],[Unit_Price]]</f>
        <v>14136</v>
      </c>
      <c r="L118" s="4">
        <f>Tablo1[[#This Row],[Sales]]-(Tablo1[[#This Row],[Quantity]]*Tablo1[[#This Row],[Unit_Cost]])</f>
        <v>3064</v>
      </c>
    </row>
    <row r="119" spans="1:12" x14ac:dyDescent="0.3">
      <c r="A119" s="2">
        <v>1118</v>
      </c>
      <c r="B119" s="7">
        <v>45608</v>
      </c>
      <c r="C119" s="8" t="s">
        <v>73</v>
      </c>
      <c r="D119" s="2" t="s">
        <v>15</v>
      </c>
      <c r="E119" s="2" t="s">
        <v>20</v>
      </c>
      <c r="F119" s="2" t="s">
        <v>49</v>
      </c>
      <c r="G119" s="2" t="s">
        <v>12</v>
      </c>
      <c r="H119" s="2">
        <v>5</v>
      </c>
      <c r="I119" s="4">
        <v>11112</v>
      </c>
      <c r="J119" s="4">
        <v>7432</v>
      </c>
      <c r="K119" s="4">
        <f>Tablo1[[#This Row],[Quantity]]*Tablo1[[#This Row],[Unit_Price]]</f>
        <v>55560</v>
      </c>
      <c r="L119" s="4">
        <f>Tablo1[[#This Row],[Sales]]-(Tablo1[[#This Row],[Quantity]]*Tablo1[[#This Row],[Unit_Cost]])</f>
        <v>18400</v>
      </c>
    </row>
    <row r="120" spans="1:12" x14ac:dyDescent="0.3">
      <c r="A120" s="2">
        <v>1119</v>
      </c>
      <c r="B120" s="7">
        <v>45292</v>
      </c>
      <c r="C120" s="8" t="s">
        <v>76</v>
      </c>
      <c r="D120" s="2" t="s">
        <v>13</v>
      </c>
      <c r="E120" s="2" t="s">
        <v>30</v>
      </c>
      <c r="F120" s="2" t="s">
        <v>45</v>
      </c>
      <c r="G120" s="2" t="s">
        <v>34</v>
      </c>
      <c r="H120" s="2">
        <v>7</v>
      </c>
      <c r="I120" s="4">
        <v>714</v>
      </c>
      <c r="J120" s="4">
        <v>364</v>
      </c>
      <c r="K120" s="4">
        <f>Tablo1[[#This Row],[Quantity]]*Tablo1[[#This Row],[Unit_Price]]</f>
        <v>4998</v>
      </c>
      <c r="L120" s="4">
        <f>Tablo1[[#This Row],[Sales]]-(Tablo1[[#This Row],[Quantity]]*Tablo1[[#This Row],[Unit_Cost]])</f>
        <v>2450</v>
      </c>
    </row>
    <row r="121" spans="1:12" x14ac:dyDescent="0.3">
      <c r="A121" s="2">
        <v>1120</v>
      </c>
      <c r="B121" s="7">
        <v>45441</v>
      </c>
      <c r="C121" s="8" t="s">
        <v>74</v>
      </c>
      <c r="D121" s="2" t="s">
        <v>19</v>
      </c>
      <c r="E121" s="2" t="s">
        <v>30</v>
      </c>
      <c r="F121" s="2" t="s">
        <v>11</v>
      </c>
      <c r="G121" s="2" t="s">
        <v>12</v>
      </c>
      <c r="H121" s="2">
        <v>8</v>
      </c>
      <c r="I121" s="4">
        <v>18919</v>
      </c>
      <c r="J121" s="4">
        <v>13077</v>
      </c>
      <c r="K121" s="4">
        <f>Tablo1[[#This Row],[Quantity]]*Tablo1[[#This Row],[Unit_Price]]</f>
        <v>151352</v>
      </c>
      <c r="L121" s="4">
        <f>Tablo1[[#This Row],[Sales]]-(Tablo1[[#This Row],[Quantity]]*Tablo1[[#This Row],[Unit_Cost]])</f>
        <v>46736</v>
      </c>
    </row>
    <row r="122" spans="1:12" x14ac:dyDescent="0.3">
      <c r="A122" s="2">
        <v>1121</v>
      </c>
      <c r="B122" s="7">
        <v>45337</v>
      </c>
      <c r="C122" s="8" t="s">
        <v>77</v>
      </c>
      <c r="D122" s="2" t="s">
        <v>32</v>
      </c>
      <c r="E122" s="2" t="s">
        <v>20</v>
      </c>
      <c r="F122" s="2" t="s">
        <v>24</v>
      </c>
      <c r="G122" s="2" t="s">
        <v>25</v>
      </c>
      <c r="H122" s="2">
        <v>9</v>
      </c>
      <c r="I122" s="4">
        <v>2561</v>
      </c>
      <c r="J122" s="4">
        <v>1334</v>
      </c>
      <c r="K122" s="4">
        <f>Tablo1[[#This Row],[Quantity]]*Tablo1[[#This Row],[Unit_Price]]</f>
        <v>23049</v>
      </c>
      <c r="L122" s="4">
        <f>Tablo1[[#This Row],[Sales]]-(Tablo1[[#This Row],[Quantity]]*Tablo1[[#This Row],[Unit_Cost]])</f>
        <v>11043</v>
      </c>
    </row>
    <row r="123" spans="1:12" x14ac:dyDescent="0.3">
      <c r="A123" s="2">
        <v>1122</v>
      </c>
      <c r="B123" s="7">
        <v>45577</v>
      </c>
      <c r="C123" s="8" t="s">
        <v>75</v>
      </c>
      <c r="D123" s="2" t="s">
        <v>44</v>
      </c>
      <c r="E123" s="2" t="s">
        <v>23</v>
      </c>
      <c r="F123" s="2" t="s">
        <v>49</v>
      </c>
      <c r="G123" s="2" t="s">
        <v>12</v>
      </c>
      <c r="H123" s="2">
        <v>6</v>
      </c>
      <c r="I123" s="4">
        <v>15187</v>
      </c>
      <c r="J123" s="4">
        <v>11204</v>
      </c>
      <c r="K123" s="4">
        <f>Tablo1[[#This Row],[Quantity]]*Tablo1[[#This Row],[Unit_Price]]</f>
        <v>91122</v>
      </c>
      <c r="L123" s="4">
        <f>Tablo1[[#This Row],[Sales]]-(Tablo1[[#This Row],[Quantity]]*Tablo1[[#This Row],[Unit_Cost]])</f>
        <v>23898</v>
      </c>
    </row>
    <row r="124" spans="1:12" x14ac:dyDescent="0.3">
      <c r="A124" s="2">
        <v>1123</v>
      </c>
      <c r="B124" s="7">
        <v>45518</v>
      </c>
      <c r="C124" s="8" t="s">
        <v>76</v>
      </c>
      <c r="D124" s="2" t="s">
        <v>43</v>
      </c>
      <c r="E124" s="2" t="s">
        <v>30</v>
      </c>
      <c r="F124" s="2" t="s">
        <v>50</v>
      </c>
      <c r="G124" s="2" t="s">
        <v>28</v>
      </c>
      <c r="H124" s="2">
        <v>3</v>
      </c>
      <c r="I124" s="4">
        <v>3658</v>
      </c>
      <c r="J124" s="4">
        <v>2899</v>
      </c>
      <c r="K124" s="4">
        <f>Tablo1[[#This Row],[Quantity]]*Tablo1[[#This Row],[Unit_Price]]</f>
        <v>10974</v>
      </c>
      <c r="L124" s="4">
        <f>Tablo1[[#This Row],[Sales]]-(Tablo1[[#This Row],[Quantity]]*Tablo1[[#This Row],[Unit_Cost]])</f>
        <v>2277</v>
      </c>
    </row>
    <row r="125" spans="1:12" x14ac:dyDescent="0.3">
      <c r="A125" s="2">
        <v>1124</v>
      </c>
      <c r="B125" s="7">
        <v>45643</v>
      </c>
      <c r="C125" s="8" t="s">
        <v>75</v>
      </c>
      <c r="D125" s="2" t="s">
        <v>32</v>
      </c>
      <c r="E125" s="2" t="s">
        <v>38</v>
      </c>
      <c r="F125" s="2" t="s">
        <v>45</v>
      </c>
      <c r="G125" s="2" t="s">
        <v>34</v>
      </c>
      <c r="H125" s="2">
        <v>9</v>
      </c>
      <c r="I125" s="4">
        <v>3928</v>
      </c>
      <c r="J125" s="4">
        <v>3139</v>
      </c>
      <c r="K125" s="4">
        <f>Tablo1[[#This Row],[Quantity]]*Tablo1[[#This Row],[Unit_Price]]</f>
        <v>35352</v>
      </c>
      <c r="L125" s="4">
        <f>Tablo1[[#This Row],[Sales]]-(Tablo1[[#This Row],[Quantity]]*Tablo1[[#This Row],[Unit_Cost]])</f>
        <v>7101</v>
      </c>
    </row>
    <row r="126" spans="1:12" x14ac:dyDescent="0.3">
      <c r="A126" s="2">
        <v>1125</v>
      </c>
      <c r="B126" s="7">
        <v>45598</v>
      </c>
      <c r="C126" s="8" t="s">
        <v>74</v>
      </c>
      <c r="D126" s="2" t="s">
        <v>13</v>
      </c>
      <c r="E126" s="2" t="s">
        <v>26</v>
      </c>
      <c r="F126" s="2" t="s">
        <v>45</v>
      </c>
      <c r="G126" s="2" t="s">
        <v>34</v>
      </c>
      <c r="H126" s="2">
        <v>10</v>
      </c>
      <c r="I126" s="4">
        <v>4486</v>
      </c>
      <c r="J126" s="4">
        <v>3238</v>
      </c>
      <c r="K126" s="4">
        <f>Tablo1[[#This Row],[Quantity]]*Tablo1[[#This Row],[Unit_Price]]</f>
        <v>44860</v>
      </c>
      <c r="L126" s="4">
        <f>Tablo1[[#This Row],[Sales]]-(Tablo1[[#This Row],[Quantity]]*Tablo1[[#This Row],[Unit_Cost]])</f>
        <v>12480</v>
      </c>
    </row>
    <row r="127" spans="1:12" x14ac:dyDescent="0.3">
      <c r="A127" s="2">
        <v>1126</v>
      </c>
      <c r="B127" s="7">
        <v>45638</v>
      </c>
      <c r="C127" s="8" t="s">
        <v>73</v>
      </c>
      <c r="D127" s="2" t="s">
        <v>10</v>
      </c>
      <c r="E127" s="2" t="s">
        <v>26</v>
      </c>
      <c r="F127" s="2" t="s">
        <v>29</v>
      </c>
      <c r="G127" s="2" t="s">
        <v>25</v>
      </c>
      <c r="H127" s="2">
        <v>7</v>
      </c>
      <c r="I127" s="4">
        <v>4819</v>
      </c>
      <c r="J127" s="4">
        <v>3846</v>
      </c>
      <c r="K127" s="4">
        <f>Tablo1[[#This Row],[Quantity]]*Tablo1[[#This Row],[Unit_Price]]</f>
        <v>33733</v>
      </c>
      <c r="L127" s="4">
        <f>Tablo1[[#This Row],[Sales]]-(Tablo1[[#This Row],[Quantity]]*Tablo1[[#This Row],[Unit_Cost]])</f>
        <v>6811</v>
      </c>
    </row>
    <row r="128" spans="1:12" x14ac:dyDescent="0.3">
      <c r="A128" s="2">
        <v>1127</v>
      </c>
      <c r="B128" s="7">
        <v>45595</v>
      </c>
      <c r="C128" s="8" t="s">
        <v>73</v>
      </c>
      <c r="D128" s="2" t="s">
        <v>32</v>
      </c>
      <c r="E128" s="2" t="s">
        <v>30</v>
      </c>
      <c r="F128" s="2" t="s">
        <v>33</v>
      </c>
      <c r="G128" s="2" t="s">
        <v>34</v>
      </c>
      <c r="H128" s="2">
        <v>8</v>
      </c>
      <c r="I128" s="4">
        <v>5117</v>
      </c>
      <c r="J128" s="4">
        <v>3516</v>
      </c>
      <c r="K128" s="4">
        <f>Tablo1[[#This Row],[Quantity]]*Tablo1[[#This Row],[Unit_Price]]</f>
        <v>40936</v>
      </c>
      <c r="L128" s="4">
        <f>Tablo1[[#This Row],[Sales]]-(Tablo1[[#This Row],[Quantity]]*Tablo1[[#This Row],[Unit_Cost]])</f>
        <v>12808</v>
      </c>
    </row>
    <row r="129" spans="1:12" x14ac:dyDescent="0.3">
      <c r="A129" s="2">
        <v>1128</v>
      </c>
      <c r="B129" s="7">
        <v>45388</v>
      </c>
      <c r="C129" s="8" t="s">
        <v>75</v>
      </c>
      <c r="D129" s="2" t="s">
        <v>32</v>
      </c>
      <c r="E129" s="2" t="s">
        <v>20</v>
      </c>
      <c r="F129" s="2" t="s">
        <v>33</v>
      </c>
      <c r="G129" s="2" t="s">
        <v>34</v>
      </c>
      <c r="H129" s="2">
        <v>9</v>
      </c>
      <c r="I129" s="4">
        <v>3531</v>
      </c>
      <c r="J129" s="4">
        <v>2716</v>
      </c>
      <c r="K129" s="4">
        <f>Tablo1[[#This Row],[Quantity]]*Tablo1[[#This Row],[Unit_Price]]</f>
        <v>31779</v>
      </c>
      <c r="L129" s="4">
        <f>Tablo1[[#This Row],[Sales]]-(Tablo1[[#This Row],[Quantity]]*Tablo1[[#This Row],[Unit_Cost]])</f>
        <v>7335</v>
      </c>
    </row>
    <row r="130" spans="1:12" x14ac:dyDescent="0.3">
      <c r="A130" s="2">
        <v>1129</v>
      </c>
      <c r="B130" s="7">
        <v>45462</v>
      </c>
      <c r="C130" s="8" t="s">
        <v>74</v>
      </c>
      <c r="D130" s="2" t="s">
        <v>15</v>
      </c>
      <c r="E130" s="2" t="s">
        <v>20</v>
      </c>
      <c r="F130" s="2" t="s">
        <v>36</v>
      </c>
      <c r="G130" s="2" t="s">
        <v>34</v>
      </c>
      <c r="H130" s="2">
        <v>6</v>
      </c>
      <c r="I130" s="4">
        <v>1626</v>
      </c>
      <c r="J130" s="4">
        <v>966</v>
      </c>
      <c r="K130" s="4">
        <f>Tablo1[[#This Row],[Quantity]]*Tablo1[[#This Row],[Unit_Price]]</f>
        <v>9756</v>
      </c>
      <c r="L130" s="4">
        <f>Tablo1[[#This Row],[Sales]]-(Tablo1[[#This Row],[Quantity]]*Tablo1[[#This Row],[Unit_Cost]])</f>
        <v>3960</v>
      </c>
    </row>
    <row r="131" spans="1:12" x14ac:dyDescent="0.3">
      <c r="A131" s="2">
        <v>1130</v>
      </c>
      <c r="B131" s="7">
        <v>45384</v>
      </c>
      <c r="C131" s="8" t="s">
        <v>76</v>
      </c>
      <c r="D131" s="2" t="s">
        <v>35</v>
      </c>
      <c r="E131" s="2" t="s">
        <v>26</v>
      </c>
      <c r="F131" s="2" t="s">
        <v>16</v>
      </c>
      <c r="G131" s="2" t="s">
        <v>17</v>
      </c>
      <c r="H131" s="2">
        <v>6</v>
      </c>
      <c r="I131" s="4">
        <v>10433</v>
      </c>
      <c r="J131" s="4">
        <v>6720</v>
      </c>
      <c r="K131" s="4">
        <f>Tablo1[[#This Row],[Quantity]]*Tablo1[[#This Row],[Unit_Price]]</f>
        <v>62598</v>
      </c>
      <c r="L131" s="4">
        <f>Tablo1[[#This Row],[Sales]]-(Tablo1[[#This Row],[Quantity]]*Tablo1[[#This Row],[Unit_Cost]])</f>
        <v>22278</v>
      </c>
    </row>
    <row r="132" spans="1:12" x14ac:dyDescent="0.3">
      <c r="A132" s="2">
        <v>1131</v>
      </c>
      <c r="B132" s="7">
        <v>45377</v>
      </c>
      <c r="C132" s="8" t="s">
        <v>75</v>
      </c>
      <c r="D132" s="2" t="s">
        <v>32</v>
      </c>
      <c r="E132" s="2" t="s">
        <v>38</v>
      </c>
      <c r="F132" s="2" t="s">
        <v>47</v>
      </c>
      <c r="G132" s="2" t="s">
        <v>25</v>
      </c>
      <c r="H132" s="2">
        <v>5</v>
      </c>
      <c r="I132" s="4">
        <v>6031</v>
      </c>
      <c r="J132" s="4">
        <v>3958</v>
      </c>
      <c r="K132" s="4">
        <f>Tablo1[[#This Row],[Quantity]]*Tablo1[[#This Row],[Unit_Price]]</f>
        <v>30155</v>
      </c>
      <c r="L132" s="4">
        <f>Tablo1[[#This Row],[Sales]]-(Tablo1[[#This Row],[Quantity]]*Tablo1[[#This Row],[Unit_Cost]])</f>
        <v>10365</v>
      </c>
    </row>
    <row r="133" spans="1:12" x14ac:dyDescent="0.3">
      <c r="A133" s="2">
        <v>1132</v>
      </c>
      <c r="B133" s="7">
        <v>45326</v>
      </c>
      <c r="C133" s="8" t="s">
        <v>73</v>
      </c>
      <c r="D133" s="2" t="s">
        <v>15</v>
      </c>
      <c r="E133" s="2" t="s">
        <v>30</v>
      </c>
      <c r="F133" s="2" t="s">
        <v>47</v>
      </c>
      <c r="G133" s="2" t="s">
        <v>25</v>
      </c>
      <c r="H133" s="2">
        <v>9</v>
      </c>
      <c r="I133" s="4">
        <v>7385</v>
      </c>
      <c r="J133" s="4">
        <v>5022</v>
      </c>
      <c r="K133" s="4">
        <f>Tablo1[[#This Row],[Quantity]]*Tablo1[[#This Row],[Unit_Price]]</f>
        <v>66465</v>
      </c>
      <c r="L133" s="4">
        <f>Tablo1[[#This Row],[Sales]]-(Tablo1[[#This Row],[Quantity]]*Tablo1[[#This Row],[Unit_Cost]])</f>
        <v>21267</v>
      </c>
    </row>
    <row r="134" spans="1:12" x14ac:dyDescent="0.3">
      <c r="A134" s="2">
        <v>1133</v>
      </c>
      <c r="B134" s="7">
        <v>45563</v>
      </c>
      <c r="C134" s="8" t="s">
        <v>76</v>
      </c>
      <c r="D134" s="2" t="s">
        <v>43</v>
      </c>
      <c r="E134" s="2" t="s">
        <v>26</v>
      </c>
      <c r="F134" s="2" t="s">
        <v>48</v>
      </c>
      <c r="G134" s="2" t="s">
        <v>34</v>
      </c>
      <c r="H134" s="2">
        <v>10</v>
      </c>
      <c r="I134" s="4">
        <v>1017</v>
      </c>
      <c r="J134" s="4">
        <v>723</v>
      </c>
      <c r="K134" s="4">
        <f>Tablo1[[#This Row],[Quantity]]*Tablo1[[#This Row],[Unit_Price]]</f>
        <v>10170</v>
      </c>
      <c r="L134" s="4">
        <f>Tablo1[[#This Row],[Sales]]-(Tablo1[[#This Row],[Quantity]]*Tablo1[[#This Row],[Unit_Cost]])</f>
        <v>2940</v>
      </c>
    </row>
    <row r="135" spans="1:12" x14ac:dyDescent="0.3">
      <c r="A135" s="2">
        <v>1134</v>
      </c>
      <c r="B135" s="7">
        <v>45623</v>
      </c>
      <c r="C135" s="8" t="s">
        <v>74</v>
      </c>
      <c r="D135" s="2" t="s">
        <v>44</v>
      </c>
      <c r="E135" s="2" t="s">
        <v>30</v>
      </c>
      <c r="F135" s="2" t="s">
        <v>27</v>
      </c>
      <c r="G135" s="2" t="s">
        <v>28</v>
      </c>
      <c r="H135" s="2">
        <v>4</v>
      </c>
      <c r="I135" s="4">
        <v>3065</v>
      </c>
      <c r="J135" s="4">
        <v>1743</v>
      </c>
      <c r="K135" s="4">
        <f>Tablo1[[#This Row],[Quantity]]*Tablo1[[#This Row],[Unit_Price]]</f>
        <v>12260</v>
      </c>
      <c r="L135" s="4">
        <f>Tablo1[[#This Row],[Sales]]-(Tablo1[[#This Row],[Quantity]]*Tablo1[[#This Row],[Unit_Cost]])</f>
        <v>5288</v>
      </c>
    </row>
    <row r="136" spans="1:12" x14ac:dyDescent="0.3">
      <c r="A136" s="2">
        <v>1135</v>
      </c>
      <c r="B136" s="7">
        <v>45509</v>
      </c>
      <c r="C136" s="8" t="s">
        <v>77</v>
      </c>
      <c r="D136" s="2" t="s">
        <v>15</v>
      </c>
      <c r="E136" s="2" t="s">
        <v>20</v>
      </c>
      <c r="F136" s="2" t="s">
        <v>50</v>
      </c>
      <c r="G136" s="2" t="s">
        <v>28</v>
      </c>
      <c r="H136" s="2">
        <v>3</v>
      </c>
      <c r="I136" s="4">
        <v>2169</v>
      </c>
      <c r="J136" s="4">
        <v>1618</v>
      </c>
      <c r="K136" s="4">
        <f>Tablo1[[#This Row],[Quantity]]*Tablo1[[#This Row],[Unit_Price]]</f>
        <v>6507</v>
      </c>
      <c r="L136" s="4">
        <f>Tablo1[[#This Row],[Sales]]-(Tablo1[[#This Row],[Quantity]]*Tablo1[[#This Row],[Unit_Cost]])</f>
        <v>1653</v>
      </c>
    </row>
    <row r="137" spans="1:12" x14ac:dyDescent="0.3">
      <c r="A137" s="2">
        <v>1136</v>
      </c>
      <c r="B137" s="7">
        <v>45393</v>
      </c>
      <c r="C137" s="8" t="s">
        <v>75</v>
      </c>
      <c r="D137" s="2" t="s">
        <v>13</v>
      </c>
      <c r="E137" s="2" t="s">
        <v>30</v>
      </c>
      <c r="F137" s="2" t="s">
        <v>21</v>
      </c>
      <c r="G137" s="2" t="s">
        <v>17</v>
      </c>
      <c r="H137" s="2">
        <v>10</v>
      </c>
      <c r="I137" s="4">
        <v>6388</v>
      </c>
      <c r="J137" s="4">
        <v>4585</v>
      </c>
      <c r="K137" s="4">
        <f>Tablo1[[#This Row],[Quantity]]*Tablo1[[#This Row],[Unit_Price]]</f>
        <v>63880</v>
      </c>
      <c r="L137" s="4">
        <f>Tablo1[[#This Row],[Sales]]-(Tablo1[[#This Row],[Quantity]]*Tablo1[[#This Row],[Unit_Cost]])</f>
        <v>18030</v>
      </c>
    </row>
    <row r="138" spans="1:12" x14ac:dyDescent="0.3">
      <c r="A138" s="2">
        <v>1137</v>
      </c>
      <c r="B138" s="7">
        <v>45536</v>
      </c>
      <c r="C138" s="8" t="s">
        <v>76</v>
      </c>
      <c r="D138" s="2" t="s">
        <v>15</v>
      </c>
      <c r="E138" s="2" t="s">
        <v>23</v>
      </c>
      <c r="F138" s="2" t="s">
        <v>16</v>
      </c>
      <c r="G138" s="2" t="s">
        <v>17</v>
      </c>
      <c r="H138" s="2">
        <v>2</v>
      </c>
      <c r="I138" s="4">
        <v>4942</v>
      </c>
      <c r="J138" s="4">
        <v>2634</v>
      </c>
      <c r="K138" s="4">
        <f>Tablo1[[#This Row],[Quantity]]*Tablo1[[#This Row],[Unit_Price]]</f>
        <v>9884</v>
      </c>
      <c r="L138" s="4">
        <f>Tablo1[[#This Row],[Sales]]-(Tablo1[[#This Row],[Quantity]]*Tablo1[[#This Row],[Unit_Cost]])</f>
        <v>4616</v>
      </c>
    </row>
    <row r="139" spans="1:12" x14ac:dyDescent="0.3">
      <c r="A139" s="2">
        <v>1138</v>
      </c>
      <c r="B139" s="7">
        <v>45529</v>
      </c>
      <c r="C139" s="8" t="s">
        <v>75</v>
      </c>
      <c r="D139" s="2" t="s">
        <v>13</v>
      </c>
      <c r="E139" s="2" t="s">
        <v>23</v>
      </c>
      <c r="F139" s="2" t="s">
        <v>11</v>
      </c>
      <c r="G139" s="2" t="s">
        <v>12</v>
      </c>
      <c r="H139" s="2">
        <v>9</v>
      </c>
      <c r="I139" s="4">
        <v>9689</v>
      </c>
      <c r="J139" s="4">
        <v>7103</v>
      </c>
      <c r="K139" s="4">
        <f>Tablo1[[#This Row],[Quantity]]*Tablo1[[#This Row],[Unit_Price]]</f>
        <v>87201</v>
      </c>
      <c r="L139" s="4">
        <f>Tablo1[[#This Row],[Sales]]-(Tablo1[[#This Row],[Quantity]]*Tablo1[[#This Row],[Unit_Cost]])</f>
        <v>23274</v>
      </c>
    </row>
    <row r="140" spans="1:12" x14ac:dyDescent="0.3">
      <c r="A140" s="2">
        <v>1139</v>
      </c>
      <c r="B140" s="7">
        <v>45325</v>
      </c>
      <c r="C140" s="8" t="s">
        <v>74</v>
      </c>
      <c r="D140" s="2" t="s">
        <v>43</v>
      </c>
      <c r="E140" s="2" t="s">
        <v>30</v>
      </c>
      <c r="F140" s="2" t="s">
        <v>48</v>
      </c>
      <c r="G140" s="2" t="s">
        <v>34</v>
      </c>
      <c r="H140" s="2">
        <v>8</v>
      </c>
      <c r="I140" s="4">
        <v>2061</v>
      </c>
      <c r="J140" s="4">
        <v>1346</v>
      </c>
      <c r="K140" s="4">
        <f>Tablo1[[#This Row],[Quantity]]*Tablo1[[#This Row],[Unit_Price]]</f>
        <v>16488</v>
      </c>
      <c r="L140" s="4">
        <f>Tablo1[[#This Row],[Sales]]-(Tablo1[[#This Row],[Quantity]]*Tablo1[[#This Row],[Unit_Cost]])</f>
        <v>5720</v>
      </c>
    </row>
    <row r="141" spans="1:12" x14ac:dyDescent="0.3">
      <c r="A141" s="2">
        <v>1140</v>
      </c>
      <c r="B141" s="7">
        <v>45411</v>
      </c>
      <c r="C141" s="8" t="s">
        <v>73</v>
      </c>
      <c r="D141" s="2" t="s">
        <v>44</v>
      </c>
      <c r="E141" s="2" t="s">
        <v>38</v>
      </c>
      <c r="F141" s="2" t="s">
        <v>36</v>
      </c>
      <c r="G141" s="2" t="s">
        <v>34</v>
      </c>
      <c r="H141" s="2">
        <v>1</v>
      </c>
      <c r="I141" s="4">
        <v>5994</v>
      </c>
      <c r="J141" s="4">
        <v>3615</v>
      </c>
      <c r="K141" s="4">
        <f>Tablo1[[#This Row],[Quantity]]*Tablo1[[#This Row],[Unit_Price]]</f>
        <v>5994</v>
      </c>
      <c r="L141" s="4">
        <f>Tablo1[[#This Row],[Sales]]-(Tablo1[[#This Row],[Quantity]]*Tablo1[[#This Row],[Unit_Cost]])</f>
        <v>2379</v>
      </c>
    </row>
    <row r="142" spans="1:12" x14ac:dyDescent="0.3">
      <c r="A142" s="2">
        <v>1141</v>
      </c>
      <c r="B142" s="7">
        <v>45508</v>
      </c>
      <c r="C142" s="8" t="s">
        <v>73</v>
      </c>
      <c r="D142" s="2" t="s">
        <v>15</v>
      </c>
      <c r="E142" s="2" t="s">
        <v>30</v>
      </c>
      <c r="F142" s="2" t="s">
        <v>39</v>
      </c>
      <c r="G142" s="2" t="s">
        <v>28</v>
      </c>
      <c r="H142" s="2">
        <v>1</v>
      </c>
      <c r="I142" s="4">
        <v>1866</v>
      </c>
      <c r="J142" s="4">
        <v>1144</v>
      </c>
      <c r="K142" s="4">
        <f>Tablo1[[#This Row],[Quantity]]*Tablo1[[#This Row],[Unit_Price]]</f>
        <v>1866</v>
      </c>
      <c r="L142" s="4">
        <f>Tablo1[[#This Row],[Sales]]-(Tablo1[[#This Row],[Quantity]]*Tablo1[[#This Row],[Unit_Cost]])</f>
        <v>722</v>
      </c>
    </row>
    <row r="143" spans="1:12" x14ac:dyDescent="0.3">
      <c r="A143" s="2">
        <v>1142</v>
      </c>
      <c r="B143" s="7">
        <v>45356</v>
      </c>
      <c r="C143" s="8" t="s">
        <v>75</v>
      </c>
      <c r="D143" s="2" t="s">
        <v>13</v>
      </c>
      <c r="E143" s="2" t="s">
        <v>38</v>
      </c>
      <c r="F143" s="2" t="s">
        <v>47</v>
      </c>
      <c r="G143" s="2" t="s">
        <v>25</v>
      </c>
      <c r="H143" s="2">
        <v>6</v>
      </c>
      <c r="I143" s="4">
        <v>7253</v>
      </c>
      <c r="J143" s="4">
        <v>5297</v>
      </c>
      <c r="K143" s="4">
        <f>Tablo1[[#This Row],[Quantity]]*Tablo1[[#This Row],[Unit_Price]]</f>
        <v>43518</v>
      </c>
      <c r="L143" s="4">
        <f>Tablo1[[#This Row],[Sales]]-(Tablo1[[#This Row],[Quantity]]*Tablo1[[#This Row],[Unit_Cost]])</f>
        <v>11736</v>
      </c>
    </row>
    <row r="144" spans="1:12" x14ac:dyDescent="0.3">
      <c r="A144" s="2">
        <v>1143</v>
      </c>
      <c r="B144" s="7">
        <v>45423</v>
      </c>
      <c r="C144" s="8" t="s">
        <v>74</v>
      </c>
      <c r="D144" s="2" t="s">
        <v>13</v>
      </c>
      <c r="E144" s="2" t="s">
        <v>26</v>
      </c>
      <c r="F144" s="2" t="s">
        <v>29</v>
      </c>
      <c r="G144" s="2" t="s">
        <v>25</v>
      </c>
      <c r="H144" s="2">
        <v>3</v>
      </c>
      <c r="I144" s="4">
        <v>1351</v>
      </c>
      <c r="J144" s="4">
        <v>678</v>
      </c>
      <c r="K144" s="4">
        <f>Tablo1[[#This Row],[Quantity]]*Tablo1[[#This Row],[Unit_Price]]</f>
        <v>4053</v>
      </c>
      <c r="L144" s="4">
        <f>Tablo1[[#This Row],[Sales]]-(Tablo1[[#This Row],[Quantity]]*Tablo1[[#This Row],[Unit_Cost]])</f>
        <v>2019</v>
      </c>
    </row>
    <row r="145" spans="1:12" x14ac:dyDescent="0.3">
      <c r="A145" s="2">
        <v>1144</v>
      </c>
      <c r="B145" s="7">
        <v>45322</v>
      </c>
      <c r="C145" s="8" t="s">
        <v>76</v>
      </c>
      <c r="D145" s="2" t="s">
        <v>10</v>
      </c>
      <c r="E145" s="2" t="s">
        <v>20</v>
      </c>
      <c r="F145" s="2" t="s">
        <v>46</v>
      </c>
      <c r="G145" s="2" t="s">
        <v>17</v>
      </c>
      <c r="H145" s="2">
        <v>7</v>
      </c>
      <c r="I145" s="4">
        <v>8374</v>
      </c>
      <c r="J145" s="4">
        <v>5594</v>
      </c>
      <c r="K145" s="4">
        <f>Tablo1[[#This Row],[Quantity]]*Tablo1[[#This Row],[Unit_Price]]</f>
        <v>58618</v>
      </c>
      <c r="L145" s="4">
        <f>Tablo1[[#This Row],[Sales]]-(Tablo1[[#This Row],[Quantity]]*Tablo1[[#This Row],[Unit_Cost]])</f>
        <v>19460</v>
      </c>
    </row>
    <row r="146" spans="1:12" x14ac:dyDescent="0.3">
      <c r="A146" s="2">
        <v>1145</v>
      </c>
      <c r="B146" s="7">
        <v>45520</v>
      </c>
      <c r="C146" s="8" t="s">
        <v>75</v>
      </c>
      <c r="D146" s="2" t="s">
        <v>13</v>
      </c>
      <c r="E146" s="2" t="s">
        <v>30</v>
      </c>
      <c r="F146" s="2" t="s">
        <v>48</v>
      </c>
      <c r="G146" s="2" t="s">
        <v>34</v>
      </c>
      <c r="H146" s="2">
        <v>4</v>
      </c>
      <c r="I146" s="4">
        <v>2075</v>
      </c>
      <c r="J146" s="4">
        <v>1429</v>
      </c>
      <c r="K146" s="4">
        <f>Tablo1[[#This Row],[Quantity]]*Tablo1[[#This Row],[Unit_Price]]</f>
        <v>8300</v>
      </c>
      <c r="L146" s="4">
        <f>Tablo1[[#This Row],[Sales]]-(Tablo1[[#This Row],[Quantity]]*Tablo1[[#This Row],[Unit_Cost]])</f>
        <v>2584</v>
      </c>
    </row>
    <row r="147" spans="1:12" x14ac:dyDescent="0.3">
      <c r="A147" s="2">
        <v>1146</v>
      </c>
      <c r="B147" s="7">
        <v>45606</v>
      </c>
      <c r="C147" s="8" t="s">
        <v>73</v>
      </c>
      <c r="D147" s="2" t="s">
        <v>15</v>
      </c>
      <c r="E147" s="2" t="s">
        <v>26</v>
      </c>
      <c r="F147" s="2" t="s">
        <v>14</v>
      </c>
      <c r="G147" s="2" t="s">
        <v>12</v>
      </c>
      <c r="H147" s="2">
        <v>6</v>
      </c>
      <c r="I147" s="4">
        <v>17069</v>
      </c>
      <c r="J147" s="4">
        <v>11272</v>
      </c>
      <c r="K147" s="4">
        <f>Tablo1[[#This Row],[Quantity]]*Tablo1[[#This Row],[Unit_Price]]</f>
        <v>102414</v>
      </c>
      <c r="L147" s="4">
        <f>Tablo1[[#This Row],[Sales]]-(Tablo1[[#This Row],[Quantity]]*Tablo1[[#This Row],[Unit_Cost]])</f>
        <v>34782</v>
      </c>
    </row>
    <row r="148" spans="1:12" x14ac:dyDescent="0.3">
      <c r="A148" s="2">
        <v>1147</v>
      </c>
      <c r="B148" s="7">
        <v>45588</v>
      </c>
      <c r="C148" s="8" t="s">
        <v>76</v>
      </c>
      <c r="D148" s="2" t="s">
        <v>13</v>
      </c>
      <c r="E148" s="2" t="s">
        <v>26</v>
      </c>
      <c r="F148" s="2" t="s">
        <v>11</v>
      </c>
      <c r="G148" s="2" t="s">
        <v>12</v>
      </c>
      <c r="H148" s="2">
        <v>1</v>
      </c>
      <c r="I148" s="4">
        <v>8833</v>
      </c>
      <c r="J148" s="4">
        <v>5406</v>
      </c>
      <c r="K148" s="4">
        <f>Tablo1[[#This Row],[Quantity]]*Tablo1[[#This Row],[Unit_Price]]</f>
        <v>8833</v>
      </c>
      <c r="L148" s="4">
        <f>Tablo1[[#This Row],[Sales]]-(Tablo1[[#This Row],[Quantity]]*Tablo1[[#This Row],[Unit_Cost]])</f>
        <v>3427</v>
      </c>
    </row>
    <row r="149" spans="1:12" x14ac:dyDescent="0.3">
      <c r="A149" s="2">
        <v>1148</v>
      </c>
      <c r="B149" s="7">
        <v>45316</v>
      </c>
      <c r="C149" s="8" t="s">
        <v>74</v>
      </c>
      <c r="D149" s="2" t="s">
        <v>32</v>
      </c>
      <c r="E149" s="2" t="s">
        <v>23</v>
      </c>
      <c r="F149" s="2" t="s">
        <v>16</v>
      </c>
      <c r="G149" s="2" t="s">
        <v>17</v>
      </c>
      <c r="H149" s="2">
        <v>7</v>
      </c>
      <c r="I149" s="4">
        <v>5495</v>
      </c>
      <c r="J149" s="4">
        <v>3356</v>
      </c>
      <c r="K149" s="4">
        <f>Tablo1[[#This Row],[Quantity]]*Tablo1[[#This Row],[Unit_Price]]</f>
        <v>38465</v>
      </c>
      <c r="L149" s="4">
        <f>Tablo1[[#This Row],[Sales]]-(Tablo1[[#This Row],[Quantity]]*Tablo1[[#This Row],[Unit_Cost]])</f>
        <v>14973</v>
      </c>
    </row>
    <row r="150" spans="1:12" x14ac:dyDescent="0.3">
      <c r="A150" s="2">
        <v>1149</v>
      </c>
      <c r="B150" s="7">
        <v>45305</v>
      </c>
      <c r="C150" s="8" t="s">
        <v>77</v>
      </c>
      <c r="D150" s="2" t="s">
        <v>13</v>
      </c>
      <c r="E150" s="2" t="s">
        <v>20</v>
      </c>
      <c r="F150" s="2" t="s">
        <v>39</v>
      </c>
      <c r="G150" s="2" t="s">
        <v>28</v>
      </c>
      <c r="H150" s="2">
        <v>4</v>
      </c>
      <c r="I150" s="4">
        <v>2236</v>
      </c>
      <c r="J150" s="4">
        <v>1183</v>
      </c>
      <c r="K150" s="4">
        <f>Tablo1[[#This Row],[Quantity]]*Tablo1[[#This Row],[Unit_Price]]</f>
        <v>8944</v>
      </c>
      <c r="L150" s="4">
        <f>Tablo1[[#This Row],[Sales]]-(Tablo1[[#This Row],[Quantity]]*Tablo1[[#This Row],[Unit_Cost]])</f>
        <v>4212</v>
      </c>
    </row>
    <row r="151" spans="1:12" x14ac:dyDescent="0.3">
      <c r="A151" s="2">
        <v>1150</v>
      </c>
      <c r="B151" s="7">
        <v>45394</v>
      </c>
      <c r="C151" s="8" t="s">
        <v>75</v>
      </c>
      <c r="D151" s="2" t="s">
        <v>15</v>
      </c>
      <c r="E151" s="2" t="s">
        <v>20</v>
      </c>
      <c r="F151" s="2" t="s">
        <v>11</v>
      </c>
      <c r="G151" s="2" t="s">
        <v>12</v>
      </c>
      <c r="H151" s="2">
        <v>1</v>
      </c>
      <c r="I151" s="4">
        <v>15678</v>
      </c>
      <c r="J151" s="4">
        <v>10812</v>
      </c>
      <c r="K151" s="4">
        <f>Tablo1[[#This Row],[Quantity]]*Tablo1[[#This Row],[Unit_Price]]</f>
        <v>15678</v>
      </c>
      <c r="L151" s="4">
        <f>Tablo1[[#This Row],[Sales]]-(Tablo1[[#This Row],[Quantity]]*Tablo1[[#This Row],[Unit_Cost]])</f>
        <v>4866</v>
      </c>
    </row>
    <row r="152" spans="1:12" x14ac:dyDescent="0.3">
      <c r="A152" s="2">
        <v>1151</v>
      </c>
      <c r="B152" s="7">
        <v>45479</v>
      </c>
      <c r="C152" s="8" t="s">
        <v>76</v>
      </c>
      <c r="D152" s="2" t="s">
        <v>13</v>
      </c>
      <c r="E152" s="2" t="s">
        <v>20</v>
      </c>
      <c r="F152" s="2" t="s">
        <v>36</v>
      </c>
      <c r="G152" s="2" t="s">
        <v>34</v>
      </c>
      <c r="H152" s="2">
        <v>3</v>
      </c>
      <c r="I152" s="4">
        <v>743</v>
      </c>
      <c r="J152" s="4">
        <v>409</v>
      </c>
      <c r="K152" s="4">
        <f>Tablo1[[#This Row],[Quantity]]*Tablo1[[#This Row],[Unit_Price]]</f>
        <v>2229</v>
      </c>
      <c r="L152" s="4">
        <f>Tablo1[[#This Row],[Sales]]-(Tablo1[[#This Row],[Quantity]]*Tablo1[[#This Row],[Unit_Cost]])</f>
        <v>1002</v>
      </c>
    </row>
    <row r="153" spans="1:12" x14ac:dyDescent="0.3">
      <c r="A153" s="2">
        <v>1152</v>
      </c>
      <c r="B153" s="7">
        <v>45385</v>
      </c>
      <c r="C153" s="8" t="s">
        <v>75</v>
      </c>
      <c r="D153" s="2" t="s">
        <v>15</v>
      </c>
      <c r="E153" s="2" t="s">
        <v>23</v>
      </c>
      <c r="F153" s="2" t="s">
        <v>21</v>
      </c>
      <c r="G153" s="2" t="s">
        <v>17</v>
      </c>
      <c r="H153" s="2">
        <v>7</v>
      </c>
      <c r="I153" s="4">
        <v>5367</v>
      </c>
      <c r="J153" s="4">
        <v>3452</v>
      </c>
      <c r="K153" s="4">
        <f>Tablo1[[#This Row],[Quantity]]*Tablo1[[#This Row],[Unit_Price]]</f>
        <v>37569</v>
      </c>
      <c r="L153" s="4">
        <f>Tablo1[[#This Row],[Sales]]-(Tablo1[[#This Row],[Quantity]]*Tablo1[[#This Row],[Unit_Cost]])</f>
        <v>13405</v>
      </c>
    </row>
    <row r="154" spans="1:12" x14ac:dyDescent="0.3">
      <c r="A154" s="2">
        <v>1153</v>
      </c>
      <c r="B154" s="7">
        <v>45485</v>
      </c>
      <c r="C154" s="8" t="s">
        <v>74</v>
      </c>
      <c r="D154" s="2" t="s">
        <v>32</v>
      </c>
      <c r="E154" s="2" t="s">
        <v>23</v>
      </c>
      <c r="F154" s="2" t="s">
        <v>47</v>
      </c>
      <c r="G154" s="2" t="s">
        <v>25</v>
      </c>
      <c r="H154" s="2">
        <v>7</v>
      </c>
      <c r="I154" s="4">
        <v>5048</v>
      </c>
      <c r="J154" s="4">
        <v>3168</v>
      </c>
      <c r="K154" s="4">
        <f>Tablo1[[#This Row],[Quantity]]*Tablo1[[#This Row],[Unit_Price]]</f>
        <v>35336</v>
      </c>
      <c r="L154" s="4">
        <f>Tablo1[[#This Row],[Sales]]-(Tablo1[[#This Row],[Quantity]]*Tablo1[[#This Row],[Unit_Cost]])</f>
        <v>13160</v>
      </c>
    </row>
    <row r="155" spans="1:12" x14ac:dyDescent="0.3">
      <c r="A155" s="2">
        <v>1154</v>
      </c>
      <c r="B155" s="7">
        <v>45425</v>
      </c>
      <c r="C155" s="8" t="s">
        <v>73</v>
      </c>
      <c r="D155" s="2" t="s">
        <v>22</v>
      </c>
      <c r="E155" s="2" t="s">
        <v>38</v>
      </c>
      <c r="F155" s="2" t="s">
        <v>46</v>
      </c>
      <c r="G155" s="2" t="s">
        <v>17</v>
      </c>
      <c r="H155" s="2">
        <v>3</v>
      </c>
      <c r="I155" s="4">
        <v>6756</v>
      </c>
      <c r="J155" s="4">
        <v>4580</v>
      </c>
      <c r="K155" s="4">
        <f>Tablo1[[#This Row],[Quantity]]*Tablo1[[#This Row],[Unit_Price]]</f>
        <v>20268</v>
      </c>
      <c r="L155" s="4">
        <f>Tablo1[[#This Row],[Sales]]-(Tablo1[[#This Row],[Quantity]]*Tablo1[[#This Row],[Unit_Cost]])</f>
        <v>6528</v>
      </c>
    </row>
    <row r="156" spans="1:12" x14ac:dyDescent="0.3">
      <c r="A156" s="2">
        <v>1155</v>
      </c>
      <c r="B156" s="7">
        <v>45341</v>
      </c>
      <c r="C156" s="8" t="s">
        <v>73</v>
      </c>
      <c r="D156" s="2" t="s">
        <v>19</v>
      </c>
      <c r="E156" s="2" t="s">
        <v>30</v>
      </c>
      <c r="F156" s="2" t="s">
        <v>39</v>
      </c>
      <c r="G156" s="2" t="s">
        <v>28</v>
      </c>
      <c r="H156" s="2">
        <v>1</v>
      </c>
      <c r="I156" s="4">
        <v>2465</v>
      </c>
      <c r="J156" s="4">
        <v>1237</v>
      </c>
      <c r="K156" s="4">
        <f>Tablo1[[#This Row],[Quantity]]*Tablo1[[#This Row],[Unit_Price]]</f>
        <v>2465</v>
      </c>
      <c r="L156" s="4">
        <f>Tablo1[[#This Row],[Sales]]-(Tablo1[[#This Row],[Quantity]]*Tablo1[[#This Row],[Unit_Cost]])</f>
        <v>1228</v>
      </c>
    </row>
    <row r="157" spans="1:12" x14ac:dyDescent="0.3">
      <c r="A157" s="2">
        <v>1156</v>
      </c>
      <c r="B157" s="7">
        <v>45637</v>
      </c>
      <c r="C157" s="8" t="s">
        <v>75</v>
      </c>
      <c r="D157" s="2" t="s">
        <v>13</v>
      </c>
      <c r="E157" s="2" t="s">
        <v>20</v>
      </c>
      <c r="F157" s="2" t="s">
        <v>47</v>
      </c>
      <c r="G157" s="2" t="s">
        <v>25</v>
      </c>
      <c r="H157" s="2">
        <v>6</v>
      </c>
      <c r="I157" s="4">
        <v>6038</v>
      </c>
      <c r="J157" s="4">
        <v>3839</v>
      </c>
      <c r="K157" s="4">
        <f>Tablo1[[#This Row],[Quantity]]*Tablo1[[#This Row],[Unit_Price]]</f>
        <v>36228</v>
      </c>
      <c r="L157" s="4">
        <f>Tablo1[[#This Row],[Sales]]-(Tablo1[[#This Row],[Quantity]]*Tablo1[[#This Row],[Unit_Cost]])</f>
        <v>13194</v>
      </c>
    </row>
    <row r="158" spans="1:12" x14ac:dyDescent="0.3">
      <c r="A158" s="2">
        <v>1157</v>
      </c>
      <c r="B158" s="7">
        <v>45456</v>
      </c>
      <c r="C158" s="8" t="s">
        <v>74</v>
      </c>
      <c r="D158" s="2" t="s">
        <v>44</v>
      </c>
      <c r="E158" s="2" t="s">
        <v>38</v>
      </c>
      <c r="F158" s="2" t="s">
        <v>45</v>
      </c>
      <c r="G158" s="2" t="s">
        <v>34</v>
      </c>
      <c r="H158" s="2">
        <v>5</v>
      </c>
      <c r="I158" s="4">
        <v>1335</v>
      </c>
      <c r="J158" s="4">
        <v>946</v>
      </c>
      <c r="K158" s="4">
        <f>Tablo1[[#This Row],[Quantity]]*Tablo1[[#This Row],[Unit_Price]]</f>
        <v>6675</v>
      </c>
      <c r="L158" s="4">
        <f>Tablo1[[#This Row],[Sales]]-(Tablo1[[#This Row],[Quantity]]*Tablo1[[#This Row],[Unit_Cost]])</f>
        <v>1945</v>
      </c>
    </row>
    <row r="159" spans="1:12" x14ac:dyDescent="0.3">
      <c r="A159" s="2">
        <v>1158</v>
      </c>
      <c r="B159" s="7">
        <v>45475</v>
      </c>
      <c r="C159" s="8" t="s">
        <v>76</v>
      </c>
      <c r="D159" s="2" t="s">
        <v>15</v>
      </c>
      <c r="E159" s="2" t="s">
        <v>30</v>
      </c>
      <c r="F159" s="2" t="s">
        <v>48</v>
      </c>
      <c r="G159" s="2" t="s">
        <v>34</v>
      </c>
      <c r="H159" s="2">
        <v>10</v>
      </c>
      <c r="I159" s="4">
        <v>1416</v>
      </c>
      <c r="J159" s="4">
        <v>820</v>
      </c>
      <c r="K159" s="4">
        <f>Tablo1[[#This Row],[Quantity]]*Tablo1[[#This Row],[Unit_Price]]</f>
        <v>14160</v>
      </c>
      <c r="L159" s="4">
        <f>Tablo1[[#This Row],[Sales]]-(Tablo1[[#This Row],[Quantity]]*Tablo1[[#This Row],[Unit_Cost]])</f>
        <v>5960</v>
      </c>
    </row>
    <row r="160" spans="1:12" x14ac:dyDescent="0.3">
      <c r="A160" s="2">
        <v>1159</v>
      </c>
      <c r="B160" s="7">
        <v>45355</v>
      </c>
      <c r="C160" s="8" t="s">
        <v>75</v>
      </c>
      <c r="D160" s="2" t="s">
        <v>22</v>
      </c>
      <c r="E160" s="2" t="s">
        <v>38</v>
      </c>
      <c r="F160" s="2" t="s">
        <v>21</v>
      </c>
      <c r="G160" s="2" t="s">
        <v>17</v>
      </c>
      <c r="H160" s="2">
        <v>6</v>
      </c>
      <c r="I160" s="4">
        <v>2559</v>
      </c>
      <c r="J160" s="4">
        <v>1496</v>
      </c>
      <c r="K160" s="4">
        <f>Tablo1[[#This Row],[Quantity]]*Tablo1[[#This Row],[Unit_Price]]</f>
        <v>15354</v>
      </c>
      <c r="L160" s="4">
        <f>Tablo1[[#This Row],[Sales]]-(Tablo1[[#This Row],[Quantity]]*Tablo1[[#This Row],[Unit_Cost]])</f>
        <v>6378</v>
      </c>
    </row>
    <row r="161" spans="1:12" x14ac:dyDescent="0.3">
      <c r="A161" s="2">
        <v>1160</v>
      </c>
      <c r="B161" s="7">
        <v>45392</v>
      </c>
      <c r="C161" s="8" t="s">
        <v>73</v>
      </c>
      <c r="D161" s="2" t="s">
        <v>41</v>
      </c>
      <c r="E161" s="2" t="s">
        <v>30</v>
      </c>
      <c r="F161" s="2" t="s">
        <v>42</v>
      </c>
      <c r="G161" s="2" t="s">
        <v>12</v>
      </c>
      <c r="H161" s="2">
        <v>1</v>
      </c>
      <c r="I161" s="4">
        <v>23344</v>
      </c>
      <c r="J161" s="4">
        <v>17387</v>
      </c>
      <c r="K161" s="4">
        <f>Tablo1[[#This Row],[Quantity]]*Tablo1[[#This Row],[Unit_Price]]</f>
        <v>23344</v>
      </c>
      <c r="L161" s="4">
        <f>Tablo1[[#This Row],[Sales]]-(Tablo1[[#This Row],[Quantity]]*Tablo1[[#This Row],[Unit_Cost]])</f>
        <v>5957</v>
      </c>
    </row>
    <row r="162" spans="1:12" x14ac:dyDescent="0.3">
      <c r="A162" s="2">
        <v>1161</v>
      </c>
      <c r="B162" s="7">
        <v>45575</v>
      </c>
      <c r="C162" s="8" t="s">
        <v>76</v>
      </c>
      <c r="D162" s="2" t="s">
        <v>44</v>
      </c>
      <c r="E162" s="2" t="s">
        <v>38</v>
      </c>
      <c r="F162" s="2" t="s">
        <v>29</v>
      </c>
      <c r="G162" s="2" t="s">
        <v>25</v>
      </c>
      <c r="H162" s="2">
        <v>4</v>
      </c>
      <c r="I162" s="4">
        <v>1590</v>
      </c>
      <c r="J162" s="4">
        <v>1023</v>
      </c>
      <c r="K162" s="4">
        <f>Tablo1[[#This Row],[Quantity]]*Tablo1[[#This Row],[Unit_Price]]</f>
        <v>6360</v>
      </c>
      <c r="L162" s="4">
        <f>Tablo1[[#This Row],[Sales]]-(Tablo1[[#This Row],[Quantity]]*Tablo1[[#This Row],[Unit_Cost]])</f>
        <v>2268</v>
      </c>
    </row>
    <row r="163" spans="1:12" x14ac:dyDescent="0.3">
      <c r="A163" s="2">
        <v>1162</v>
      </c>
      <c r="B163" s="7">
        <v>45529</v>
      </c>
      <c r="C163" s="8" t="s">
        <v>74</v>
      </c>
      <c r="D163" s="2" t="s">
        <v>10</v>
      </c>
      <c r="E163" s="2" t="s">
        <v>38</v>
      </c>
      <c r="F163" s="2" t="s">
        <v>48</v>
      </c>
      <c r="G163" s="2" t="s">
        <v>34</v>
      </c>
      <c r="H163" s="2">
        <v>5</v>
      </c>
      <c r="I163" s="4">
        <v>6697</v>
      </c>
      <c r="J163" s="4">
        <v>3548</v>
      </c>
      <c r="K163" s="4">
        <f>Tablo1[[#This Row],[Quantity]]*Tablo1[[#This Row],[Unit_Price]]</f>
        <v>33485</v>
      </c>
      <c r="L163" s="4">
        <f>Tablo1[[#This Row],[Sales]]-(Tablo1[[#This Row],[Quantity]]*Tablo1[[#This Row],[Unit_Cost]])</f>
        <v>15745</v>
      </c>
    </row>
    <row r="164" spans="1:12" x14ac:dyDescent="0.3">
      <c r="A164" s="2">
        <v>1163</v>
      </c>
      <c r="B164" s="7">
        <v>45324</v>
      </c>
      <c r="C164" s="8" t="s">
        <v>77</v>
      </c>
      <c r="D164" s="2" t="s">
        <v>15</v>
      </c>
      <c r="E164" s="2" t="s">
        <v>30</v>
      </c>
      <c r="F164" s="2" t="s">
        <v>11</v>
      </c>
      <c r="G164" s="2" t="s">
        <v>12</v>
      </c>
      <c r="H164" s="2">
        <v>9</v>
      </c>
      <c r="I164" s="4">
        <v>14311</v>
      </c>
      <c r="J164" s="4">
        <v>10070</v>
      </c>
      <c r="K164" s="4">
        <f>Tablo1[[#This Row],[Quantity]]*Tablo1[[#This Row],[Unit_Price]]</f>
        <v>128799</v>
      </c>
      <c r="L164" s="4">
        <f>Tablo1[[#This Row],[Sales]]-(Tablo1[[#This Row],[Quantity]]*Tablo1[[#This Row],[Unit_Cost]])</f>
        <v>38169</v>
      </c>
    </row>
    <row r="165" spans="1:12" x14ac:dyDescent="0.3">
      <c r="A165" s="2">
        <v>1164</v>
      </c>
      <c r="B165" s="7">
        <v>45535</v>
      </c>
      <c r="C165" s="8" t="s">
        <v>75</v>
      </c>
      <c r="D165" s="2" t="s">
        <v>43</v>
      </c>
      <c r="E165" s="2" t="s">
        <v>38</v>
      </c>
      <c r="F165" s="2" t="s">
        <v>33</v>
      </c>
      <c r="G165" s="2" t="s">
        <v>34</v>
      </c>
      <c r="H165" s="2">
        <v>1</v>
      </c>
      <c r="I165" s="4">
        <v>4570</v>
      </c>
      <c r="J165" s="4">
        <v>3051</v>
      </c>
      <c r="K165" s="4">
        <f>Tablo1[[#This Row],[Quantity]]*Tablo1[[#This Row],[Unit_Price]]</f>
        <v>4570</v>
      </c>
      <c r="L165" s="4">
        <f>Tablo1[[#This Row],[Sales]]-(Tablo1[[#This Row],[Quantity]]*Tablo1[[#This Row],[Unit_Cost]])</f>
        <v>1519</v>
      </c>
    </row>
    <row r="166" spans="1:12" x14ac:dyDescent="0.3">
      <c r="A166" s="2">
        <v>1165</v>
      </c>
      <c r="B166" s="7">
        <v>45439</v>
      </c>
      <c r="C166" s="8" t="s">
        <v>76</v>
      </c>
      <c r="D166" s="2" t="s">
        <v>41</v>
      </c>
      <c r="E166" s="2" t="s">
        <v>38</v>
      </c>
      <c r="F166" s="2" t="s">
        <v>16</v>
      </c>
      <c r="G166" s="2" t="s">
        <v>17</v>
      </c>
      <c r="H166" s="2">
        <v>7</v>
      </c>
      <c r="I166" s="4">
        <v>5569</v>
      </c>
      <c r="J166" s="4">
        <v>4055</v>
      </c>
      <c r="K166" s="4">
        <f>Tablo1[[#This Row],[Quantity]]*Tablo1[[#This Row],[Unit_Price]]</f>
        <v>38983</v>
      </c>
      <c r="L166" s="4">
        <f>Tablo1[[#This Row],[Sales]]-(Tablo1[[#This Row],[Quantity]]*Tablo1[[#This Row],[Unit_Cost]])</f>
        <v>10598</v>
      </c>
    </row>
    <row r="167" spans="1:12" x14ac:dyDescent="0.3">
      <c r="A167" s="2">
        <v>1166</v>
      </c>
      <c r="B167" s="7">
        <v>45461</v>
      </c>
      <c r="C167" s="8" t="s">
        <v>75</v>
      </c>
      <c r="D167" s="2" t="s">
        <v>19</v>
      </c>
      <c r="E167" s="2" t="s">
        <v>23</v>
      </c>
      <c r="F167" s="2" t="s">
        <v>42</v>
      </c>
      <c r="G167" s="2" t="s">
        <v>12</v>
      </c>
      <c r="H167" s="2">
        <v>3</v>
      </c>
      <c r="I167" s="4">
        <v>15964</v>
      </c>
      <c r="J167" s="4">
        <v>11978</v>
      </c>
      <c r="K167" s="4">
        <f>Tablo1[[#This Row],[Quantity]]*Tablo1[[#This Row],[Unit_Price]]</f>
        <v>47892</v>
      </c>
      <c r="L167" s="4">
        <f>Tablo1[[#This Row],[Sales]]-(Tablo1[[#This Row],[Quantity]]*Tablo1[[#This Row],[Unit_Cost]])</f>
        <v>11958</v>
      </c>
    </row>
    <row r="168" spans="1:12" x14ac:dyDescent="0.3">
      <c r="A168" s="2">
        <v>1167</v>
      </c>
      <c r="B168" s="7">
        <v>45619</v>
      </c>
      <c r="C168" s="8" t="s">
        <v>74</v>
      </c>
      <c r="D168" s="2" t="s">
        <v>43</v>
      </c>
      <c r="E168" s="2" t="s">
        <v>23</v>
      </c>
      <c r="F168" s="2" t="s">
        <v>45</v>
      </c>
      <c r="G168" s="2" t="s">
        <v>34</v>
      </c>
      <c r="H168" s="2">
        <v>1</v>
      </c>
      <c r="I168" s="4">
        <v>4773</v>
      </c>
      <c r="J168" s="4">
        <v>2883</v>
      </c>
      <c r="K168" s="4">
        <f>Tablo1[[#This Row],[Quantity]]*Tablo1[[#This Row],[Unit_Price]]</f>
        <v>4773</v>
      </c>
      <c r="L168" s="4">
        <f>Tablo1[[#This Row],[Sales]]-(Tablo1[[#This Row],[Quantity]]*Tablo1[[#This Row],[Unit_Cost]])</f>
        <v>1890</v>
      </c>
    </row>
    <row r="169" spans="1:12" x14ac:dyDescent="0.3">
      <c r="A169" s="2">
        <v>1168</v>
      </c>
      <c r="B169" s="7">
        <v>45630</v>
      </c>
      <c r="C169" s="8" t="s">
        <v>73</v>
      </c>
      <c r="D169" s="2" t="s">
        <v>41</v>
      </c>
      <c r="E169" s="2" t="s">
        <v>26</v>
      </c>
      <c r="F169" s="2" t="s">
        <v>45</v>
      </c>
      <c r="G169" s="2" t="s">
        <v>34</v>
      </c>
      <c r="H169" s="2">
        <v>10</v>
      </c>
      <c r="I169" s="4">
        <v>3028</v>
      </c>
      <c r="J169" s="4">
        <v>2023</v>
      </c>
      <c r="K169" s="4">
        <f>Tablo1[[#This Row],[Quantity]]*Tablo1[[#This Row],[Unit_Price]]</f>
        <v>30280</v>
      </c>
      <c r="L169" s="4">
        <f>Tablo1[[#This Row],[Sales]]-(Tablo1[[#This Row],[Quantity]]*Tablo1[[#This Row],[Unit_Cost]])</f>
        <v>10050</v>
      </c>
    </row>
    <row r="170" spans="1:12" x14ac:dyDescent="0.3">
      <c r="A170" s="2">
        <v>1169</v>
      </c>
      <c r="B170" s="7">
        <v>45515</v>
      </c>
      <c r="C170" s="8" t="s">
        <v>73</v>
      </c>
      <c r="D170" s="2" t="s">
        <v>15</v>
      </c>
      <c r="E170" s="2" t="s">
        <v>26</v>
      </c>
      <c r="F170" s="2" t="s">
        <v>37</v>
      </c>
      <c r="G170" s="2" t="s">
        <v>28</v>
      </c>
      <c r="H170" s="2">
        <v>3</v>
      </c>
      <c r="I170" s="4">
        <v>1686</v>
      </c>
      <c r="J170" s="4">
        <v>1087</v>
      </c>
      <c r="K170" s="4">
        <f>Tablo1[[#This Row],[Quantity]]*Tablo1[[#This Row],[Unit_Price]]</f>
        <v>5058</v>
      </c>
      <c r="L170" s="4">
        <f>Tablo1[[#This Row],[Sales]]-(Tablo1[[#This Row],[Quantity]]*Tablo1[[#This Row],[Unit_Cost]])</f>
        <v>1797</v>
      </c>
    </row>
    <row r="171" spans="1:12" x14ac:dyDescent="0.3">
      <c r="A171" s="2">
        <v>1170</v>
      </c>
      <c r="B171" s="7">
        <v>45504</v>
      </c>
      <c r="C171" s="8" t="s">
        <v>75</v>
      </c>
      <c r="D171" s="2" t="s">
        <v>41</v>
      </c>
      <c r="E171" s="2" t="s">
        <v>38</v>
      </c>
      <c r="F171" s="2" t="s">
        <v>14</v>
      </c>
      <c r="G171" s="2" t="s">
        <v>12</v>
      </c>
      <c r="H171" s="2">
        <v>4</v>
      </c>
      <c r="I171" s="4">
        <v>10952</v>
      </c>
      <c r="J171" s="4">
        <v>7484</v>
      </c>
      <c r="K171" s="4">
        <f>Tablo1[[#This Row],[Quantity]]*Tablo1[[#This Row],[Unit_Price]]</f>
        <v>43808</v>
      </c>
      <c r="L171" s="4">
        <f>Tablo1[[#This Row],[Sales]]-(Tablo1[[#This Row],[Quantity]]*Tablo1[[#This Row],[Unit_Cost]])</f>
        <v>13872</v>
      </c>
    </row>
    <row r="172" spans="1:12" x14ac:dyDescent="0.3">
      <c r="A172" s="2">
        <v>1171</v>
      </c>
      <c r="B172" s="7">
        <v>45373</v>
      </c>
      <c r="C172" s="8" t="s">
        <v>74</v>
      </c>
      <c r="D172" s="2" t="s">
        <v>15</v>
      </c>
      <c r="E172" s="2" t="s">
        <v>23</v>
      </c>
      <c r="F172" s="2" t="s">
        <v>11</v>
      </c>
      <c r="G172" s="2" t="s">
        <v>12</v>
      </c>
      <c r="H172" s="2">
        <v>4</v>
      </c>
      <c r="I172" s="4">
        <v>15480</v>
      </c>
      <c r="J172" s="4">
        <v>12098</v>
      </c>
      <c r="K172" s="4">
        <f>Tablo1[[#This Row],[Quantity]]*Tablo1[[#This Row],[Unit_Price]]</f>
        <v>61920</v>
      </c>
      <c r="L172" s="4">
        <f>Tablo1[[#This Row],[Sales]]-(Tablo1[[#This Row],[Quantity]]*Tablo1[[#This Row],[Unit_Cost]])</f>
        <v>13528</v>
      </c>
    </row>
    <row r="173" spans="1:12" x14ac:dyDescent="0.3">
      <c r="A173" s="2">
        <v>1172</v>
      </c>
      <c r="B173" s="7">
        <v>45484</v>
      </c>
      <c r="C173" s="8" t="s">
        <v>76</v>
      </c>
      <c r="D173" s="2" t="s">
        <v>10</v>
      </c>
      <c r="E173" s="2" t="s">
        <v>38</v>
      </c>
      <c r="F173" s="2" t="s">
        <v>11</v>
      </c>
      <c r="G173" s="2" t="s">
        <v>12</v>
      </c>
      <c r="H173" s="2">
        <v>4</v>
      </c>
      <c r="I173" s="4">
        <v>9451</v>
      </c>
      <c r="J173" s="4">
        <v>5661</v>
      </c>
      <c r="K173" s="4">
        <f>Tablo1[[#This Row],[Quantity]]*Tablo1[[#This Row],[Unit_Price]]</f>
        <v>37804</v>
      </c>
      <c r="L173" s="4">
        <f>Tablo1[[#This Row],[Sales]]-(Tablo1[[#This Row],[Quantity]]*Tablo1[[#This Row],[Unit_Cost]])</f>
        <v>15160</v>
      </c>
    </row>
    <row r="174" spans="1:12" x14ac:dyDescent="0.3">
      <c r="A174" s="2">
        <v>1173</v>
      </c>
      <c r="B174" s="7">
        <v>45324</v>
      </c>
      <c r="C174" s="8" t="s">
        <v>75</v>
      </c>
      <c r="D174" s="2" t="s">
        <v>13</v>
      </c>
      <c r="E174" s="2" t="s">
        <v>20</v>
      </c>
      <c r="F174" s="2" t="s">
        <v>36</v>
      </c>
      <c r="G174" s="2" t="s">
        <v>34</v>
      </c>
      <c r="H174" s="2">
        <v>1</v>
      </c>
      <c r="I174" s="4">
        <v>3400</v>
      </c>
      <c r="J174" s="4">
        <v>2574</v>
      </c>
      <c r="K174" s="4">
        <f>Tablo1[[#This Row],[Quantity]]*Tablo1[[#This Row],[Unit_Price]]</f>
        <v>3400</v>
      </c>
      <c r="L174" s="4">
        <f>Tablo1[[#This Row],[Sales]]-(Tablo1[[#This Row],[Quantity]]*Tablo1[[#This Row],[Unit_Cost]])</f>
        <v>826</v>
      </c>
    </row>
    <row r="175" spans="1:12" x14ac:dyDescent="0.3">
      <c r="A175" s="2">
        <v>1174</v>
      </c>
      <c r="B175" s="7">
        <v>45421</v>
      </c>
      <c r="C175" s="8" t="s">
        <v>73</v>
      </c>
      <c r="D175" s="2" t="s">
        <v>32</v>
      </c>
      <c r="E175" s="2" t="s">
        <v>30</v>
      </c>
      <c r="F175" s="2" t="s">
        <v>42</v>
      </c>
      <c r="G175" s="2" t="s">
        <v>12</v>
      </c>
      <c r="H175" s="2">
        <v>1</v>
      </c>
      <c r="I175" s="4">
        <v>15696</v>
      </c>
      <c r="J175" s="4">
        <v>9262</v>
      </c>
      <c r="K175" s="4">
        <f>Tablo1[[#This Row],[Quantity]]*Tablo1[[#This Row],[Unit_Price]]</f>
        <v>15696</v>
      </c>
      <c r="L175" s="4">
        <f>Tablo1[[#This Row],[Sales]]-(Tablo1[[#This Row],[Quantity]]*Tablo1[[#This Row],[Unit_Cost]])</f>
        <v>6434</v>
      </c>
    </row>
    <row r="176" spans="1:12" x14ac:dyDescent="0.3">
      <c r="A176" s="2">
        <v>1175</v>
      </c>
      <c r="B176" s="7">
        <v>45573</v>
      </c>
      <c r="C176" s="8" t="s">
        <v>76</v>
      </c>
      <c r="D176" s="2" t="s">
        <v>41</v>
      </c>
      <c r="E176" s="2" t="s">
        <v>23</v>
      </c>
      <c r="F176" s="2" t="s">
        <v>31</v>
      </c>
      <c r="G176" s="2" t="s">
        <v>17</v>
      </c>
      <c r="H176" s="2">
        <v>2</v>
      </c>
      <c r="I176" s="4">
        <v>2964</v>
      </c>
      <c r="J176" s="4">
        <v>1997</v>
      </c>
      <c r="K176" s="4">
        <f>Tablo1[[#This Row],[Quantity]]*Tablo1[[#This Row],[Unit_Price]]</f>
        <v>5928</v>
      </c>
      <c r="L176" s="4">
        <f>Tablo1[[#This Row],[Sales]]-(Tablo1[[#This Row],[Quantity]]*Tablo1[[#This Row],[Unit_Cost]])</f>
        <v>1934</v>
      </c>
    </row>
    <row r="177" spans="1:12" x14ac:dyDescent="0.3">
      <c r="A177" s="2">
        <v>1176</v>
      </c>
      <c r="B177" s="7">
        <v>45373</v>
      </c>
      <c r="C177" s="8" t="s">
        <v>74</v>
      </c>
      <c r="D177" s="2" t="s">
        <v>44</v>
      </c>
      <c r="E177" s="2" t="s">
        <v>30</v>
      </c>
      <c r="F177" s="2" t="s">
        <v>16</v>
      </c>
      <c r="G177" s="2" t="s">
        <v>17</v>
      </c>
      <c r="H177" s="2">
        <v>6</v>
      </c>
      <c r="I177" s="4">
        <v>8102</v>
      </c>
      <c r="J177" s="4">
        <v>4896</v>
      </c>
      <c r="K177" s="4">
        <f>Tablo1[[#This Row],[Quantity]]*Tablo1[[#This Row],[Unit_Price]]</f>
        <v>48612</v>
      </c>
      <c r="L177" s="4">
        <f>Tablo1[[#This Row],[Sales]]-(Tablo1[[#This Row],[Quantity]]*Tablo1[[#This Row],[Unit_Cost]])</f>
        <v>19236</v>
      </c>
    </row>
    <row r="178" spans="1:12" x14ac:dyDescent="0.3">
      <c r="A178" s="2">
        <v>1177</v>
      </c>
      <c r="B178" s="7">
        <v>45479</v>
      </c>
      <c r="C178" s="8" t="s">
        <v>77</v>
      </c>
      <c r="D178" s="2" t="s">
        <v>43</v>
      </c>
      <c r="E178" s="2" t="s">
        <v>38</v>
      </c>
      <c r="F178" s="2" t="s">
        <v>48</v>
      </c>
      <c r="G178" s="2" t="s">
        <v>34</v>
      </c>
      <c r="H178" s="2">
        <v>7</v>
      </c>
      <c r="I178" s="4">
        <v>4585</v>
      </c>
      <c r="J178" s="4">
        <v>3435</v>
      </c>
      <c r="K178" s="4">
        <f>Tablo1[[#This Row],[Quantity]]*Tablo1[[#This Row],[Unit_Price]]</f>
        <v>32095</v>
      </c>
      <c r="L178" s="4">
        <f>Tablo1[[#This Row],[Sales]]-(Tablo1[[#This Row],[Quantity]]*Tablo1[[#This Row],[Unit_Cost]])</f>
        <v>8050</v>
      </c>
    </row>
    <row r="179" spans="1:12" x14ac:dyDescent="0.3">
      <c r="A179" s="2">
        <v>1178</v>
      </c>
      <c r="B179" s="7">
        <v>45483</v>
      </c>
      <c r="C179" s="8" t="s">
        <v>75</v>
      </c>
      <c r="D179" s="2" t="s">
        <v>19</v>
      </c>
      <c r="E179" s="2" t="s">
        <v>20</v>
      </c>
      <c r="F179" s="2" t="s">
        <v>48</v>
      </c>
      <c r="G179" s="2" t="s">
        <v>34</v>
      </c>
      <c r="H179" s="2">
        <v>8</v>
      </c>
      <c r="I179" s="4">
        <v>900</v>
      </c>
      <c r="J179" s="4">
        <v>607</v>
      </c>
      <c r="K179" s="4">
        <f>Tablo1[[#This Row],[Quantity]]*Tablo1[[#This Row],[Unit_Price]]</f>
        <v>7200</v>
      </c>
      <c r="L179" s="4">
        <f>Tablo1[[#This Row],[Sales]]-(Tablo1[[#This Row],[Quantity]]*Tablo1[[#This Row],[Unit_Cost]])</f>
        <v>2344</v>
      </c>
    </row>
    <row r="180" spans="1:12" x14ac:dyDescent="0.3">
      <c r="A180" s="2">
        <v>1179</v>
      </c>
      <c r="B180" s="7">
        <v>45347</v>
      </c>
      <c r="C180" s="8" t="s">
        <v>76</v>
      </c>
      <c r="D180" s="2" t="s">
        <v>13</v>
      </c>
      <c r="E180" s="2" t="s">
        <v>23</v>
      </c>
      <c r="F180" s="2" t="s">
        <v>39</v>
      </c>
      <c r="G180" s="2" t="s">
        <v>28</v>
      </c>
      <c r="H180" s="2">
        <v>5</v>
      </c>
      <c r="I180" s="4">
        <v>1641</v>
      </c>
      <c r="J180" s="4">
        <v>945</v>
      </c>
      <c r="K180" s="4">
        <f>Tablo1[[#This Row],[Quantity]]*Tablo1[[#This Row],[Unit_Price]]</f>
        <v>8205</v>
      </c>
      <c r="L180" s="4">
        <f>Tablo1[[#This Row],[Sales]]-(Tablo1[[#This Row],[Quantity]]*Tablo1[[#This Row],[Unit_Cost]])</f>
        <v>3480</v>
      </c>
    </row>
    <row r="181" spans="1:12" x14ac:dyDescent="0.3">
      <c r="A181" s="2">
        <v>1180</v>
      </c>
      <c r="B181" s="7">
        <v>45604</v>
      </c>
      <c r="C181" s="8" t="s">
        <v>75</v>
      </c>
      <c r="D181" s="2" t="s">
        <v>44</v>
      </c>
      <c r="E181" s="2" t="s">
        <v>38</v>
      </c>
      <c r="F181" s="2" t="s">
        <v>36</v>
      </c>
      <c r="G181" s="2" t="s">
        <v>34</v>
      </c>
      <c r="H181" s="2">
        <v>9</v>
      </c>
      <c r="I181" s="4">
        <v>1460</v>
      </c>
      <c r="J181" s="4">
        <v>999</v>
      </c>
      <c r="K181" s="4">
        <f>Tablo1[[#This Row],[Quantity]]*Tablo1[[#This Row],[Unit_Price]]</f>
        <v>13140</v>
      </c>
      <c r="L181" s="4">
        <f>Tablo1[[#This Row],[Sales]]-(Tablo1[[#This Row],[Quantity]]*Tablo1[[#This Row],[Unit_Cost]])</f>
        <v>4149</v>
      </c>
    </row>
    <row r="182" spans="1:12" x14ac:dyDescent="0.3">
      <c r="A182" s="2">
        <v>1181</v>
      </c>
      <c r="B182" s="7">
        <v>45496</v>
      </c>
      <c r="C182" s="8" t="s">
        <v>74</v>
      </c>
      <c r="D182" s="2" t="s">
        <v>35</v>
      </c>
      <c r="E182" s="2" t="s">
        <v>26</v>
      </c>
      <c r="F182" s="2" t="s">
        <v>40</v>
      </c>
      <c r="G182" s="2" t="s">
        <v>25</v>
      </c>
      <c r="H182" s="2">
        <v>5</v>
      </c>
      <c r="I182" s="4">
        <v>1688</v>
      </c>
      <c r="J182" s="4">
        <v>1036</v>
      </c>
      <c r="K182" s="4">
        <f>Tablo1[[#This Row],[Quantity]]*Tablo1[[#This Row],[Unit_Price]]</f>
        <v>8440</v>
      </c>
      <c r="L182" s="4">
        <f>Tablo1[[#This Row],[Sales]]-(Tablo1[[#This Row],[Quantity]]*Tablo1[[#This Row],[Unit_Cost]])</f>
        <v>3260</v>
      </c>
    </row>
    <row r="183" spans="1:12" x14ac:dyDescent="0.3">
      <c r="A183" s="2">
        <v>1182</v>
      </c>
      <c r="B183" s="7">
        <v>45652</v>
      </c>
      <c r="C183" s="8" t="s">
        <v>73</v>
      </c>
      <c r="D183" s="2" t="s">
        <v>32</v>
      </c>
      <c r="E183" s="2" t="s">
        <v>26</v>
      </c>
      <c r="F183" s="2" t="s">
        <v>27</v>
      </c>
      <c r="G183" s="2" t="s">
        <v>28</v>
      </c>
      <c r="H183" s="2">
        <v>1</v>
      </c>
      <c r="I183" s="4">
        <v>1505</v>
      </c>
      <c r="J183" s="4">
        <v>1124</v>
      </c>
      <c r="K183" s="4">
        <f>Tablo1[[#This Row],[Quantity]]*Tablo1[[#This Row],[Unit_Price]]</f>
        <v>1505</v>
      </c>
      <c r="L183" s="4">
        <f>Tablo1[[#This Row],[Sales]]-(Tablo1[[#This Row],[Quantity]]*Tablo1[[#This Row],[Unit_Cost]])</f>
        <v>381</v>
      </c>
    </row>
    <row r="184" spans="1:12" x14ac:dyDescent="0.3">
      <c r="A184" s="2">
        <v>1183</v>
      </c>
      <c r="B184" s="7">
        <v>45352</v>
      </c>
      <c r="C184" s="8" t="s">
        <v>73</v>
      </c>
      <c r="D184" s="2" t="s">
        <v>10</v>
      </c>
      <c r="E184" s="2" t="s">
        <v>38</v>
      </c>
      <c r="F184" s="2" t="s">
        <v>24</v>
      </c>
      <c r="G184" s="2" t="s">
        <v>25</v>
      </c>
      <c r="H184" s="2">
        <v>2</v>
      </c>
      <c r="I184" s="4">
        <v>7367</v>
      </c>
      <c r="J184" s="4">
        <v>5815</v>
      </c>
      <c r="K184" s="4">
        <f>Tablo1[[#This Row],[Quantity]]*Tablo1[[#This Row],[Unit_Price]]</f>
        <v>14734</v>
      </c>
      <c r="L184" s="4">
        <f>Tablo1[[#This Row],[Sales]]-(Tablo1[[#This Row],[Quantity]]*Tablo1[[#This Row],[Unit_Cost]])</f>
        <v>3104</v>
      </c>
    </row>
    <row r="185" spans="1:12" x14ac:dyDescent="0.3">
      <c r="A185" s="2">
        <v>1184</v>
      </c>
      <c r="B185" s="7">
        <v>45527</v>
      </c>
      <c r="C185" s="8" t="s">
        <v>75</v>
      </c>
      <c r="D185" s="2" t="s">
        <v>43</v>
      </c>
      <c r="E185" s="2" t="s">
        <v>20</v>
      </c>
      <c r="F185" s="2" t="s">
        <v>46</v>
      </c>
      <c r="G185" s="2" t="s">
        <v>17</v>
      </c>
      <c r="H185" s="2">
        <v>4</v>
      </c>
      <c r="I185" s="4">
        <v>7108</v>
      </c>
      <c r="J185" s="4">
        <v>4262</v>
      </c>
      <c r="K185" s="4">
        <f>Tablo1[[#This Row],[Quantity]]*Tablo1[[#This Row],[Unit_Price]]</f>
        <v>28432</v>
      </c>
      <c r="L185" s="4">
        <f>Tablo1[[#This Row],[Sales]]-(Tablo1[[#This Row],[Quantity]]*Tablo1[[#This Row],[Unit_Cost]])</f>
        <v>11384</v>
      </c>
    </row>
    <row r="186" spans="1:12" x14ac:dyDescent="0.3">
      <c r="A186" s="2">
        <v>1185</v>
      </c>
      <c r="B186" s="7">
        <v>45328</v>
      </c>
      <c r="C186" s="8" t="s">
        <v>74</v>
      </c>
      <c r="D186" s="2" t="s">
        <v>41</v>
      </c>
      <c r="E186" s="2" t="s">
        <v>20</v>
      </c>
      <c r="F186" s="2" t="s">
        <v>33</v>
      </c>
      <c r="G186" s="2" t="s">
        <v>34</v>
      </c>
      <c r="H186" s="2">
        <v>5</v>
      </c>
      <c r="I186" s="4">
        <v>5477</v>
      </c>
      <c r="J186" s="4">
        <v>3655</v>
      </c>
      <c r="K186" s="4">
        <f>Tablo1[[#This Row],[Quantity]]*Tablo1[[#This Row],[Unit_Price]]</f>
        <v>27385</v>
      </c>
      <c r="L186" s="4">
        <f>Tablo1[[#This Row],[Sales]]-(Tablo1[[#This Row],[Quantity]]*Tablo1[[#This Row],[Unit_Cost]])</f>
        <v>9110</v>
      </c>
    </row>
    <row r="187" spans="1:12" x14ac:dyDescent="0.3">
      <c r="A187" s="2">
        <v>1186</v>
      </c>
      <c r="B187" s="7">
        <v>45329</v>
      </c>
      <c r="C187" s="8" t="s">
        <v>76</v>
      </c>
      <c r="D187" s="2" t="s">
        <v>35</v>
      </c>
      <c r="E187" s="2" t="s">
        <v>20</v>
      </c>
      <c r="F187" s="2" t="s">
        <v>14</v>
      </c>
      <c r="G187" s="2" t="s">
        <v>12</v>
      </c>
      <c r="H187" s="2">
        <v>2</v>
      </c>
      <c r="I187" s="4">
        <v>21549</v>
      </c>
      <c r="J187" s="4">
        <v>10980</v>
      </c>
      <c r="K187" s="4">
        <f>Tablo1[[#This Row],[Quantity]]*Tablo1[[#This Row],[Unit_Price]]</f>
        <v>43098</v>
      </c>
      <c r="L187" s="4">
        <f>Tablo1[[#This Row],[Sales]]-(Tablo1[[#This Row],[Quantity]]*Tablo1[[#This Row],[Unit_Cost]])</f>
        <v>21138</v>
      </c>
    </row>
    <row r="188" spans="1:12" x14ac:dyDescent="0.3">
      <c r="A188" s="2">
        <v>1187</v>
      </c>
      <c r="B188" s="7">
        <v>45646</v>
      </c>
      <c r="C188" s="8" t="s">
        <v>75</v>
      </c>
      <c r="D188" s="2" t="s">
        <v>44</v>
      </c>
      <c r="E188" s="2" t="s">
        <v>20</v>
      </c>
      <c r="F188" s="2" t="s">
        <v>39</v>
      </c>
      <c r="G188" s="2" t="s">
        <v>28</v>
      </c>
      <c r="H188" s="2">
        <v>6</v>
      </c>
      <c r="I188" s="4">
        <v>1627</v>
      </c>
      <c r="J188" s="4">
        <v>957</v>
      </c>
      <c r="K188" s="4">
        <f>Tablo1[[#This Row],[Quantity]]*Tablo1[[#This Row],[Unit_Price]]</f>
        <v>9762</v>
      </c>
      <c r="L188" s="4">
        <f>Tablo1[[#This Row],[Sales]]-(Tablo1[[#This Row],[Quantity]]*Tablo1[[#This Row],[Unit_Cost]])</f>
        <v>4020</v>
      </c>
    </row>
    <row r="189" spans="1:12" x14ac:dyDescent="0.3">
      <c r="A189" s="2">
        <v>1188</v>
      </c>
      <c r="B189" s="7">
        <v>45339</v>
      </c>
      <c r="C189" s="8" t="s">
        <v>73</v>
      </c>
      <c r="D189" s="2" t="s">
        <v>10</v>
      </c>
      <c r="E189" s="2" t="s">
        <v>30</v>
      </c>
      <c r="F189" s="2" t="s">
        <v>42</v>
      </c>
      <c r="G189" s="2" t="s">
        <v>12</v>
      </c>
      <c r="H189" s="2">
        <v>10</v>
      </c>
      <c r="I189" s="4">
        <v>20819</v>
      </c>
      <c r="J189" s="4">
        <v>14870</v>
      </c>
      <c r="K189" s="4">
        <f>Tablo1[[#This Row],[Quantity]]*Tablo1[[#This Row],[Unit_Price]]</f>
        <v>208190</v>
      </c>
      <c r="L189" s="4">
        <f>Tablo1[[#This Row],[Sales]]-(Tablo1[[#This Row],[Quantity]]*Tablo1[[#This Row],[Unit_Cost]])</f>
        <v>59490</v>
      </c>
    </row>
    <row r="190" spans="1:12" x14ac:dyDescent="0.3">
      <c r="A190" s="2">
        <v>1189</v>
      </c>
      <c r="B190" s="7">
        <v>45636</v>
      </c>
      <c r="C190" s="8" t="s">
        <v>76</v>
      </c>
      <c r="D190" s="2" t="s">
        <v>10</v>
      </c>
      <c r="E190" s="2" t="s">
        <v>26</v>
      </c>
      <c r="F190" s="2" t="s">
        <v>31</v>
      </c>
      <c r="G190" s="2" t="s">
        <v>17</v>
      </c>
      <c r="H190" s="2">
        <v>10</v>
      </c>
      <c r="I190" s="4">
        <v>9411</v>
      </c>
      <c r="J190" s="4">
        <v>5907</v>
      </c>
      <c r="K190" s="4">
        <f>Tablo1[[#This Row],[Quantity]]*Tablo1[[#This Row],[Unit_Price]]</f>
        <v>94110</v>
      </c>
      <c r="L190" s="4">
        <f>Tablo1[[#This Row],[Sales]]-(Tablo1[[#This Row],[Quantity]]*Tablo1[[#This Row],[Unit_Cost]])</f>
        <v>35040</v>
      </c>
    </row>
    <row r="191" spans="1:12" x14ac:dyDescent="0.3">
      <c r="A191" s="2">
        <v>1190</v>
      </c>
      <c r="B191" s="7">
        <v>45496</v>
      </c>
      <c r="C191" s="8" t="s">
        <v>74</v>
      </c>
      <c r="D191" s="2" t="s">
        <v>32</v>
      </c>
      <c r="E191" s="2" t="s">
        <v>30</v>
      </c>
      <c r="F191" s="2" t="s">
        <v>50</v>
      </c>
      <c r="G191" s="2" t="s">
        <v>28</v>
      </c>
      <c r="H191" s="2">
        <v>3</v>
      </c>
      <c r="I191" s="4">
        <v>1912</v>
      </c>
      <c r="J191" s="4">
        <v>1348</v>
      </c>
      <c r="K191" s="4">
        <f>Tablo1[[#This Row],[Quantity]]*Tablo1[[#This Row],[Unit_Price]]</f>
        <v>5736</v>
      </c>
      <c r="L191" s="4">
        <f>Tablo1[[#This Row],[Sales]]-(Tablo1[[#This Row],[Quantity]]*Tablo1[[#This Row],[Unit_Cost]])</f>
        <v>1692</v>
      </c>
    </row>
    <row r="192" spans="1:12" x14ac:dyDescent="0.3">
      <c r="A192" s="2">
        <v>1191</v>
      </c>
      <c r="B192" s="7">
        <v>45617</v>
      </c>
      <c r="C192" s="8" t="s">
        <v>77</v>
      </c>
      <c r="D192" s="2" t="s">
        <v>32</v>
      </c>
      <c r="E192" s="2" t="s">
        <v>30</v>
      </c>
      <c r="F192" s="2" t="s">
        <v>37</v>
      </c>
      <c r="G192" s="2" t="s">
        <v>28</v>
      </c>
      <c r="H192" s="2">
        <v>3</v>
      </c>
      <c r="I192" s="4">
        <v>3850</v>
      </c>
      <c r="J192" s="4">
        <v>2536</v>
      </c>
      <c r="K192" s="4">
        <f>Tablo1[[#This Row],[Quantity]]*Tablo1[[#This Row],[Unit_Price]]</f>
        <v>11550</v>
      </c>
      <c r="L192" s="4">
        <f>Tablo1[[#This Row],[Sales]]-(Tablo1[[#This Row],[Quantity]]*Tablo1[[#This Row],[Unit_Cost]])</f>
        <v>3942</v>
      </c>
    </row>
    <row r="193" spans="1:12" x14ac:dyDescent="0.3">
      <c r="A193" s="2">
        <v>1192</v>
      </c>
      <c r="B193" s="7">
        <v>45424</v>
      </c>
      <c r="C193" s="8" t="s">
        <v>75</v>
      </c>
      <c r="D193" s="2" t="s">
        <v>13</v>
      </c>
      <c r="E193" s="2" t="s">
        <v>23</v>
      </c>
      <c r="F193" s="2" t="s">
        <v>39</v>
      </c>
      <c r="G193" s="2" t="s">
        <v>28</v>
      </c>
      <c r="H193" s="2">
        <v>5</v>
      </c>
      <c r="I193" s="4">
        <v>3387</v>
      </c>
      <c r="J193" s="4">
        <v>1812</v>
      </c>
      <c r="K193" s="4">
        <f>Tablo1[[#This Row],[Quantity]]*Tablo1[[#This Row],[Unit_Price]]</f>
        <v>16935</v>
      </c>
      <c r="L193" s="4">
        <f>Tablo1[[#This Row],[Sales]]-(Tablo1[[#This Row],[Quantity]]*Tablo1[[#This Row],[Unit_Cost]])</f>
        <v>7875</v>
      </c>
    </row>
    <row r="194" spans="1:12" x14ac:dyDescent="0.3">
      <c r="A194" s="2">
        <v>1193</v>
      </c>
      <c r="B194" s="7">
        <v>45374</v>
      </c>
      <c r="C194" s="8" t="s">
        <v>76</v>
      </c>
      <c r="D194" s="2" t="s">
        <v>35</v>
      </c>
      <c r="E194" s="2" t="s">
        <v>26</v>
      </c>
      <c r="F194" s="2" t="s">
        <v>11</v>
      </c>
      <c r="G194" s="2" t="s">
        <v>12</v>
      </c>
      <c r="H194" s="2">
        <v>4</v>
      </c>
      <c r="I194" s="4">
        <v>6867</v>
      </c>
      <c r="J194" s="4">
        <v>4946</v>
      </c>
      <c r="K194" s="4">
        <f>Tablo1[[#This Row],[Quantity]]*Tablo1[[#This Row],[Unit_Price]]</f>
        <v>27468</v>
      </c>
      <c r="L194" s="4">
        <f>Tablo1[[#This Row],[Sales]]-(Tablo1[[#This Row],[Quantity]]*Tablo1[[#This Row],[Unit_Cost]])</f>
        <v>7684</v>
      </c>
    </row>
    <row r="195" spans="1:12" x14ac:dyDescent="0.3">
      <c r="A195" s="2">
        <v>1194</v>
      </c>
      <c r="B195" s="7">
        <v>45352</v>
      </c>
      <c r="C195" s="8" t="s">
        <v>75</v>
      </c>
      <c r="D195" s="2" t="s">
        <v>35</v>
      </c>
      <c r="E195" s="2" t="s">
        <v>20</v>
      </c>
      <c r="F195" s="2" t="s">
        <v>27</v>
      </c>
      <c r="G195" s="2" t="s">
        <v>28</v>
      </c>
      <c r="H195" s="2">
        <v>7</v>
      </c>
      <c r="I195" s="4">
        <v>3662</v>
      </c>
      <c r="J195" s="4">
        <v>1867</v>
      </c>
      <c r="K195" s="4">
        <f>Tablo1[[#This Row],[Quantity]]*Tablo1[[#This Row],[Unit_Price]]</f>
        <v>25634</v>
      </c>
      <c r="L195" s="4">
        <f>Tablo1[[#This Row],[Sales]]-(Tablo1[[#This Row],[Quantity]]*Tablo1[[#This Row],[Unit_Cost]])</f>
        <v>12565</v>
      </c>
    </row>
    <row r="196" spans="1:12" x14ac:dyDescent="0.3">
      <c r="A196" s="2">
        <v>1195</v>
      </c>
      <c r="B196" s="7">
        <v>45459</v>
      </c>
      <c r="C196" s="8" t="s">
        <v>74</v>
      </c>
      <c r="D196" s="2" t="s">
        <v>19</v>
      </c>
      <c r="E196" s="2" t="s">
        <v>26</v>
      </c>
      <c r="F196" s="2" t="s">
        <v>31</v>
      </c>
      <c r="G196" s="2" t="s">
        <v>17</v>
      </c>
      <c r="H196" s="2">
        <v>1</v>
      </c>
      <c r="I196" s="4">
        <v>3831</v>
      </c>
      <c r="J196" s="4">
        <v>2820</v>
      </c>
      <c r="K196" s="4">
        <f>Tablo1[[#This Row],[Quantity]]*Tablo1[[#This Row],[Unit_Price]]</f>
        <v>3831</v>
      </c>
      <c r="L196" s="4">
        <f>Tablo1[[#This Row],[Sales]]-(Tablo1[[#This Row],[Quantity]]*Tablo1[[#This Row],[Unit_Cost]])</f>
        <v>1011</v>
      </c>
    </row>
    <row r="197" spans="1:12" x14ac:dyDescent="0.3">
      <c r="A197" s="2">
        <v>1196</v>
      </c>
      <c r="B197" s="7">
        <v>45582</v>
      </c>
      <c r="C197" s="8" t="s">
        <v>73</v>
      </c>
      <c r="D197" s="2" t="s">
        <v>15</v>
      </c>
      <c r="E197" s="2" t="s">
        <v>23</v>
      </c>
      <c r="F197" s="2" t="s">
        <v>16</v>
      </c>
      <c r="G197" s="2" t="s">
        <v>17</v>
      </c>
      <c r="H197" s="2">
        <v>4</v>
      </c>
      <c r="I197" s="4">
        <v>8966</v>
      </c>
      <c r="J197" s="4">
        <v>4989</v>
      </c>
      <c r="K197" s="4">
        <f>Tablo1[[#This Row],[Quantity]]*Tablo1[[#This Row],[Unit_Price]]</f>
        <v>35864</v>
      </c>
      <c r="L197" s="4">
        <f>Tablo1[[#This Row],[Sales]]-(Tablo1[[#This Row],[Quantity]]*Tablo1[[#This Row],[Unit_Cost]])</f>
        <v>15908</v>
      </c>
    </row>
    <row r="198" spans="1:12" x14ac:dyDescent="0.3">
      <c r="A198" s="2">
        <v>1197</v>
      </c>
      <c r="B198" s="7">
        <v>45412</v>
      </c>
      <c r="C198" s="8" t="s">
        <v>73</v>
      </c>
      <c r="D198" s="2" t="s">
        <v>43</v>
      </c>
      <c r="E198" s="2" t="s">
        <v>23</v>
      </c>
      <c r="F198" s="2" t="s">
        <v>24</v>
      </c>
      <c r="G198" s="2" t="s">
        <v>25</v>
      </c>
      <c r="H198" s="2">
        <v>7</v>
      </c>
      <c r="I198" s="4">
        <v>6599</v>
      </c>
      <c r="J198" s="4">
        <v>4487</v>
      </c>
      <c r="K198" s="4">
        <f>Tablo1[[#This Row],[Quantity]]*Tablo1[[#This Row],[Unit_Price]]</f>
        <v>46193</v>
      </c>
      <c r="L198" s="4">
        <f>Tablo1[[#This Row],[Sales]]-(Tablo1[[#This Row],[Quantity]]*Tablo1[[#This Row],[Unit_Cost]])</f>
        <v>14784</v>
      </c>
    </row>
    <row r="199" spans="1:12" x14ac:dyDescent="0.3">
      <c r="A199" s="2">
        <v>1198</v>
      </c>
      <c r="B199" s="7">
        <v>45303</v>
      </c>
      <c r="C199" s="8" t="s">
        <v>75</v>
      </c>
      <c r="D199" s="2" t="s">
        <v>32</v>
      </c>
      <c r="E199" s="2" t="s">
        <v>23</v>
      </c>
      <c r="F199" s="2" t="s">
        <v>47</v>
      </c>
      <c r="G199" s="2" t="s">
        <v>25</v>
      </c>
      <c r="H199" s="2">
        <v>4</v>
      </c>
      <c r="I199" s="4">
        <v>7786</v>
      </c>
      <c r="J199" s="4">
        <v>4197</v>
      </c>
      <c r="K199" s="4">
        <f>Tablo1[[#This Row],[Quantity]]*Tablo1[[#This Row],[Unit_Price]]</f>
        <v>31144</v>
      </c>
      <c r="L199" s="4">
        <f>Tablo1[[#This Row],[Sales]]-(Tablo1[[#This Row],[Quantity]]*Tablo1[[#This Row],[Unit_Cost]])</f>
        <v>14356</v>
      </c>
    </row>
    <row r="200" spans="1:12" x14ac:dyDescent="0.3">
      <c r="A200" s="2">
        <v>1199</v>
      </c>
      <c r="B200" s="7">
        <v>45324</v>
      </c>
      <c r="C200" s="8" t="s">
        <v>74</v>
      </c>
      <c r="D200" s="2" t="s">
        <v>41</v>
      </c>
      <c r="E200" s="2" t="s">
        <v>38</v>
      </c>
      <c r="F200" s="2" t="s">
        <v>46</v>
      </c>
      <c r="G200" s="2" t="s">
        <v>17</v>
      </c>
      <c r="H200" s="2">
        <v>2</v>
      </c>
      <c r="I200" s="4">
        <v>6968</v>
      </c>
      <c r="J200" s="4">
        <v>4515</v>
      </c>
      <c r="K200" s="4">
        <f>Tablo1[[#This Row],[Quantity]]*Tablo1[[#This Row],[Unit_Price]]</f>
        <v>13936</v>
      </c>
      <c r="L200" s="4">
        <f>Tablo1[[#This Row],[Sales]]-(Tablo1[[#This Row],[Quantity]]*Tablo1[[#This Row],[Unit_Cost]])</f>
        <v>4906</v>
      </c>
    </row>
    <row r="201" spans="1:12" x14ac:dyDescent="0.3">
      <c r="A201" s="2">
        <v>1200</v>
      </c>
      <c r="B201" s="7">
        <v>45305</v>
      </c>
      <c r="C201" s="8" t="s">
        <v>76</v>
      </c>
      <c r="D201" s="2" t="s">
        <v>13</v>
      </c>
      <c r="E201" s="2" t="s">
        <v>38</v>
      </c>
      <c r="F201" s="2" t="s">
        <v>49</v>
      </c>
      <c r="G201" s="2" t="s">
        <v>12</v>
      </c>
      <c r="H201" s="2">
        <v>4</v>
      </c>
      <c r="I201" s="4">
        <v>24931</v>
      </c>
      <c r="J201" s="4">
        <v>18489</v>
      </c>
      <c r="K201" s="4">
        <f>Tablo1[[#This Row],[Quantity]]*Tablo1[[#This Row],[Unit_Price]]</f>
        <v>99724</v>
      </c>
      <c r="L201" s="4">
        <f>Tablo1[[#This Row],[Sales]]-(Tablo1[[#This Row],[Quantity]]*Tablo1[[#This Row],[Unit_Cost]])</f>
        <v>25768</v>
      </c>
    </row>
    <row r="202" spans="1:12" x14ac:dyDescent="0.3">
      <c r="A202" s="2">
        <v>1201</v>
      </c>
      <c r="B202" s="7">
        <v>45339</v>
      </c>
      <c r="C202" s="8" t="s">
        <v>75</v>
      </c>
      <c r="D202" s="2" t="s">
        <v>41</v>
      </c>
      <c r="E202" s="2" t="s">
        <v>30</v>
      </c>
      <c r="F202" s="2" t="s">
        <v>40</v>
      </c>
      <c r="G202" s="2" t="s">
        <v>25</v>
      </c>
      <c r="H202" s="2">
        <v>1</v>
      </c>
      <c r="I202" s="4">
        <v>1104</v>
      </c>
      <c r="J202" s="4">
        <v>585</v>
      </c>
      <c r="K202" s="4">
        <f>Tablo1[[#This Row],[Quantity]]*Tablo1[[#This Row],[Unit_Price]]</f>
        <v>1104</v>
      </c>
      <c r="L202" s="4">
        <f>Tablo1[[#This Row],[Sales]]-(Tablo1[[#This Row],[Quantity]]*Tablo1[[#This Row],[Unit_Cost]])</f>
        <v>519</v>
      </c>
    </row>
    <row r="203" spans="1:12" x14ac:dyDescent="0.3">
      <c r="A203" s="2">
        <v>1202</v>
      </c>
      <c r="B203" s="7">
        <v>45656</v>
      </c>
      <c r="C203" s="8" t="s">
        <v>73</v>
      </c>
      <c r="D203" s="2" t="s">
        <v>43</v>
      </c>
      <c r="E203" s="2" t="s">
        <v>30</v>
      </c>
      <c r="F203" s="2" t="s">
        <v>39</v>
      </c>
      <c r="G203" s="2" t="s">
        <v>28</v>
      </c>
      <c r="H203" s="2">
        <v>5</v>
      </c>
      <c r="I203" s="4">
        <v>757</v>
      </c>
      <c r="J203" s="4">
        <v>594</v>
      </c>
      <c r="K203" s="4">
        <f>Tablo1[[#This Row],[Quantity]]*Tablo1[[#This Row],[Unit_Price]]</f>
        <v>3785</v>
      </c>
      <c r="L203" s="4">
        <f>Tablo1[[#This Row],[Sales]]-(Tablo1[[#This Row],[Quantity]]*Tablo1[[#This Row],[Unit_Cost]])</f>
        <v>815</v>
      </c>
    </row>
    <row r="204" spans="1:12" x14ac:dyDescent="0.3">
      <c r="A204" s="2">
        <v>1203</v>
      </c>
      <c r="B204" s="7">
        <v>45355</v>
      </c>
      <c r="C204" s="8" t="s">
        <v>76</v>
      </c>
      <c r="D204" s="2" t="s">
        <v>22</v>
      </c>
      <c r="E204" s="2" t="s">
        <v>23</v>
      </c>
      <c r="F204" s="2" t="s">
        <v>48</v>
      </c>
      <c r="G204" s="2" t="s">
        <v>34</v>
      </c>
      <c r="H204" s="2">
        <v>8</v>
      </c>
      <c r="I204" s="4">
        <v>3673</v>
      </c>
      <c r="J204" s="4">
        <v>2147</v>
      </c>
      <c r="K204" s="4">
        <f>Tablo1[[#This Row],[Quantity]]*Tablo1[[#This Row],[Unit_Price]]</f>
        <v>29384</v>
      </c>
      <c r="L204" s="4">
        <f>Tablo1[[#This Row],[Sales]]-(Tablo1[[#This Row],[Quantity]]*Tablo1[[#This Row],[Unit_Cost]])</f>
        <v>12208</v>
      </c>
    </row>
    <row r="205" spans="1:12" x14ac:dyDescent="0.3">
      <c r="A205" s="2">
        <v>1204</v>
      </c>
      <c r="B205" s="7">
        <v>45336</v>
      </c>
      <c r="C205" s="8" t="s">
        <v>74</v>
      </c>
      <c r="D205" s="2" t="s">
        <v>19</v>
      </c>
      <c r="E205" s="2" t="s">
        <v>38</v>
      </c>
      <c r="F205" s="2" t="s">
        <v>48</v>
      </c>
      <c r="G205" s="2" t="s">
        <v>34</v>
      </c>
      <c r="H205" s="2">
        <v>7</v>
      </c>
      <c r="I205" s="4">
        <v>2123</v>
      </c>
      <c r="J205" s="4">
        <v>1161</v>
      </c>
      <c r="K205" s="4">
        <f>Tablo1[[#This Row],[Quantity]]*Tablo1[[#This Row],[Unit_Price]]</f>
        <v>14861</v>
      </c>
      <c r="L205" s="4">
        <f>Tablo1[[#This Row],[Sales]]-(Tablo1[[#This Row],[Quantity]]*Tablo1[[#This Row],[Unit_Cost]])</f>
        <v>6734</v>
      </c>
    </row>
    <row r="206" spans="1:12" x14ac:dyDescent="0.3">
      <c r="A206" s="2">
        <v>1205</v>
      </c>
      <c r="B206" s="7">
        <v>45379</v>
      </c>
      <c r="C206" s="8" t="s">
        <v>77</v>
      </c>
      <c r="D206" s="2" t="s">
        <v>41</v>
      </c>
      <c r="E206" s="2" t="s">
        <v>30</v>
      </c>
      <c r="F206" s="2" t="s">
        <v>16</v>
      </c>
      <c r="G206" s="2" t="s">
        <v>17</v>
      </c>
      <c r="H206" s="2">
        <v>3</v>
      </c>
      <c r="I206" s="4">
        <v>2461</v>
      </c>
      <c r="J206" s="4">
        <v>1370</v>
      </c>
      <c r="K206" s="4">
        <f>Tablo1[[#This Row],[Quantity]]*Tablo1[[#This Row],[Unit_Price]]</f>
        <v>7383</v>
      </c>
      <c r="L206" s="4">
        <f>Tablo1[[#This Row],[Sales]]-(Tablo1[[#This Row],[Quantity]]*Tablo1[[#This Row],[Unit_Cost]])</f>
        <v>3273</v>
      </c>
    </row>
    <row r="207" spans="1:12" x14ac:dyDescent="0.3">
      <c r="A207" s="2">
        <v>1206</v>
      </c>
      <c r="B207" s="7">
        <v>45530</v>
      </c>
      <c r="C207" s="8" t="s">
        <v>75</v>
      </c>
      <c r="D207" s="2" t="s">
        <v>44</v>
      </c>
      <c r="E207" s="2" t="s">
        <v>20</v>
      </c>
      <c r="F207" s="2" t="s">
        <v>42</v>
      </c>
      <c r="G207" s="2" t="s">
        <v>12</v>
      </c>
      <c r="H207" s="2">
        <v>6</v>
      </c>
      <c r="I207" s="4">
        <v>7329</v>
      </c>
      <c r="J207" s="4">
        <v>3681</v>
      </c>
      <c r="K207" s="4">
        <f>Tablo1[[#This Row],[Quantity]]*Tablo1[[#This Row],[Unit_Price]]</f>
        <v>43974</v>
      </c>
      <c r="L207" s="4">
        <f>Tablo1[[#This Row],[Sales]]-(Tablo1[[#This Row],[Quantity]]*Tablo1[[#This Row],[Unit_Cost]])</f>
        <v>21888</v>
      </c>
    </row>
    <row r="208" spans="1:12" x14ac:dyDescent="0.3">
      <c r="A208" s="2">
        <v>1207</v>
      </c>
      <c r="B208" s="7">
        <v>45599</v>
      </c>
      <c r="C208" s="8" t="s">
        <v>76</v>
      </c>
      <c r="D208" s="2" t="s">
        <v>10</v>
      </c>
      <c r="E208" s="2" t="s">
        <v>30</v>
      </c>
      <c r="F208" s="2" t="s">
        <v>49</v>
      </c>
      <c r="G208" s="2" t="s">
        <v>12</v>
      </c>
      <c r="H208" s="2">
        <v>3</v>
      </c>
      <c r="I208" s="4">
        <v>20883</v>
      </c>
      <c r="J208" s="4">
        <v>14849</v>
      </c>
      <c r="K208" s="4">
        <f>Tablo1[[#This Row],[Quantity]]*Tablo1[[#This Row],[Unit_Price]]</f>
        <v>62649</v>
      </c>
      <c r="L208" s="4">
        <f>Tablo1[[#This Row],[Sales]]-(Tablo1[[#This Row],[Quantity]]*Tablo1[[#This Row],[Unit_Cost]])</f>
        <v>18102</v>
      </c>
    </row>
    <row r="209" spans="1:12" x14ac:dyDescent="0.3">
      <c r="A209" s="2">
        <v>1208</v>
      </c>
      <c r="B209" s="7">
        <v>45551</v>
      </c>
      <c r="C209" s="8" t="s">
        <v>75</v>
      </c>
      <c r="D209" s="2" t="s">
        <v>13</v>
      </c>
      <c r="E209" s="2" t="s">
        <v>38</v>
      </c>
      <c r="F209" s="2" t="s">
        <v>50</v>
      </c>
      <c r="G209" s="2" t="s">
        <v>28</v>
      </c>
      <c r="H209" s="2">
        <v>7</v>
      </c>
      <c r="I209" s="4">
        <v>750</v>
      </c>
      <c r="J209" s="4">
        <v>585</v>
      </c>
      <c r="K209" s="4">
        <f>Tablo1[[#This Row],[Quantity]]*Tablo1[[#This Row],[Unit_Price]]</f>
        <v>5250</v>
      </c>
      <c r="L209" s="4">
        <f>Tablo1[[#This Row],[Sales]]-(Tablo1[[#This Row],[Quantity]]*Tablo1[[#This Row],[Unit_Cost]])</f>
        <v>1155</v>
      </c>
    </row>
    <row r="210" spans="1:12" x14ac:dyDescent="0.3">
      <c r="A210" s="2">
        <v>1209</v>
      </c>
      <c r="B210" s="7">
        <v>45377</v>
      </c>
      <c r="C210" s="8" t="s">
        <v>74</v>
      </c>
      <c r="D210" s="2" t="s">
        <v>22</v>
      </c>
      <c r="E210" s="2" t="s">
        <v>30</v>
      </c>
      <c r="F210" s="2" t="s">
        <v>11</v>
      </c>
      <c r="G210" s="2" t="s">
        <v>12</v>
      </c>
      <c r="H210" s="2">
        <v>5</v>
      </c>
      <c r="I210" s="4">
        <v>12182</v>
      </c>
      <c r="J210" s="4">
        <v>9029</v>
      </c>
      <c r="K210" s="4">
        <f>Tablo1[[#This Row],[Quantity]]*Tablo1[[#This Row],[Unit_Price]]</f>
        <v>60910</v>
      </c>
      <c r="L210" s="4">
        <f>Tablo1[[#This Row],[Sales]]-(Tablo1[[#This Row],[Quantity]]*Tablo1[[#This Row],[Unit_Cost]])</f>
        <v>15765</v>
      </c>
    </row>
    <row r="211" spans="1:12" x14ac:dyDescent="0.3">
      <c r="A211" s="2">
        <v>1210</v>
      </c>
      <c r="B211" s="7">
        <v>45510</v>
      </c>
      <c r="C211" s="8" t="s">
        <v>73</v>
      </c>
      <c r="D211" s="2" t="s">
        <v>22</v>
      </c>
      <c r="E211" s="2" t="s">
        <v>30</v>
      </c>
      <c r="F211" s="2" t="s">
        <v>14</v>
      </c>
      <c r="G211" s="2" t="s">
        <v>12</v>
      </c>
      <c r="H211" s="2">
        <v>1</v>
      </c>
      <c r="I211" s="4">
        <v>11727</v>
      </c>
      <c r="J211" s="4">
        <v>6104</v>
      </c>
      <c r="K211" s="4">
        <f>Tablo1[[#This Row],[Quantity]]*Tablo1[[#This Row],[Unit_Price]]</f>
        <v>11727</v>
      </c>
      <c r="L211" s="4">
        <f>Tablo1[[#This Row],[Sales]]-(Tablo1[[#This Row],[Quantity]]*Tablo1[[#This Row],[Unit_Cost]])</f>
        <v>5623</v>
      </c>
    </row>
    <row r="212" spans="1:12" x14ac:dyDescent="0.3">
      <c r="A212" s="2">
        <v>1211</v>
      </c>
      <c r="B212" s="7">
        <v>45616</v>
      </c>
      <c r="C212" s="8" t="s">
        <v>73</v>
      </c>
      <c r="D212" s="2" t="s">
        <v>13</v>
      </c>
      <c r="E212" s="2" t="s">
        <v>20</v>
      </c>
      <c r="F212" s="2" t="s">
        <v>47</v>
      </c>
      <c r="G212" s="2" t="s">
        <v>25</v>
      </c>
      <c r="H212" s="2">
        <v>10</v>
      </c>
      <c r="I212" s="4">
        <v>1092</v>
      </c>
      <c r="J212" s="4">
        <v>751</v>
      </c>
      <c r="K212" s="4">
        <f>Tablo1[[#This Row],[Quantity]]*Tablo1[[#This Row],[Unit_Price]]</f>
        <v>10920</v>
      </c>
      <c r="L212" s="4">
        <f>Tablo1[[#This Row],[Sales]]-(Tablo1[[#This Row],[Quantity]]*Tablo1[[#This Row],[Unit_Cost]])</f>
        <v>3410</v>
      </c>
    </row>
    <row r="213" spans="1:12" x14ac:dyDescent="0.3">
      <c r="A213" s="2">
        <v>1212</v>
      </c>
      <c r="B213" s="7">
        <v>45574</v>
      </c>
      <c r="C213" s="8" t="s">
        <v>75</v>
      </c>
      <c r="D213" s="2" t="s">
        <v>19</v>
      </c>
      <c r="E213" s="2" t="s">
        <v>38</v>
      </c>
      <c r="F213" s="2" t="s">
        <v>45</v>
      </c>
      <c r="G213" s="2" t="s">
        <v>34</v>
      </c>
      <c r="H213" s="2">
        <v>6</v>
      </c>
      <c r="I213" s="4">
        <v>2809</v>
      </c>
      <c r="J213" s="4">
        <v>1785</v>
      </c>
      <c r="K213" s="4">
        <f>Tablo1[[#This Row],[Quantity]]*Tablo1[[#This Row],[Unit_Price]]</f>
        <v>16854</v>
      </c>
      <c r="L213" s="4">
        <f>Tablo1[[#This Row],[Sales]]-(Tablo1[[#This Row],[Quantity]]*Tablo1[[#This Row],[Unit_Cost]])</f>
        <v>6144</v>
      </c>
    </row>
    <row r="214" spans="1:12" x14ac:dyDescent="0.3">
      <c r="A214" s="2">
        <v>1213</v>
      </c>
      <c r="B214" s="7">
        <v>45322</v>
      </c>
      <c r="C214" s="8" t="s">
        <v>74</v>
      </c>
      <c r="D214" s="2" t="s">
        <v>44</v>
      </c>
      <c r="E214" s="2" t="s">
        <v>23</v>
      </c>
      <c r="F214" s="2" t="s">
        <v>37</v>
      </c>
      <c r="G214" s="2" t="s">
        <v>28</v>
      </c>
      <c r="H214" s="2">
        <v>9</v>
      </c>
      <c r="I214" s="4">
        <v>2336</v>
      </c>
      <c r="J214" s="4">
        <v>1829</v>
      </c>
      <c r="K214" s="4">
        <f>Tablo1[[#This Row],[Quantity]]*Tablo1[[#This Row],[Unit_Price]]</f>
        <v>21024</v>
      </c>
      <c r="L214" s="4">
        <f>Tablo1[[#This Row],[Sales]]-(Tablo1[[#This Row],[Quantity]]*Tablo1[[#This Row],[Unit_Cost]])</f>
        <v>4563</v>
      </c>
    </row>
    <row r="215" spans="1:12" x14ac:dyDescent="0.3">
      <c r="A215" s="2">
        <v>1214</v>
      </c>
      <c r="B215" s="7">
        <v>45384</v>
      </c>
      <c r="C215" s="8" t="s">
        <v>76</v>
      </c>
      <c r="D215" s="2" t="s">
        <v>43</v>
      </c>
      <c r="E215" s="2" t="s">
        <v>26</v>
      </c>
      <c r="F215" s="2" t="s">
        <v>11</v>
      </c>
      <c r="G215" s="2" t="s">
        <v>12</v>
      </c>
      <c r="H215" s="2">
        <v>10</v>
      </c>
      <c r="I215" s="4">
        <v>6668</v>
      </c>
      <c r="J215" s="4">
        <v>4634</v>
      </c>
      <c r="K215" s="4">
        <f>Tablo1[[#This Row],[Quantity]]*Tablo1[[#This Row],[Unit_Price]]</f>
        <v>66680</v>
      </c>
      <c r="L215" s="4">
        <f>Tablo1[[#This Row],[Sales]]-(Tablo1[[#This Row],[Quantity]]*Tablo1[[#This Row],[Unit_Cost]])</f>
        <v>20340</v>
      </c>
    </row>
    <row r="216" spans="1:12" x14ac:dyDescent="0.3">
      <c r="A216" s="2">
        <v>1215</v>
      </c>
      <c r="B216" s="7">
        <v>45359</v>
      </c>
      <c r="C216" s="8" t="s">
        <v>75</v>
      </c>
      <c r="D216" s="2" t="s">
        <v>22</v>
      </c>
      <c r="E216" s="2" t="s">
        <v>26</v>
      </c>
      <c r="F216" s="2" t="s">
        <v>36</v>
      </c>
      <c r="G216" s="2" t="s">
        <v>34</v>
      </c>
      <c r="H216" s="2">
        <v>6</v>
      </c>
      <c r="I216" s="4">
        <v>6342</v>
      </c>
      <c r="J216" s="4">
        <v>4617</v>
      </c>
      <c r="K216" s="4">
        <f>Tablo1[[#This Row],[Quantity]]*Tablo1[[#This Row],[Unit_Price]]</f>
        <v>38052</v>
      </c>
      <c r="L216" s="4">
        <f>Tablo1[[#This Row],[Sales]]-(Tablo1[[#This Row],[Quantity]]*Tablo1[[#This Row],[Unit_Cost]])</f>
        <v>10350</v>
      </c>
    </row>
    <row r="217" spans="1:12" x14ac:dyDescent="0.3">
      <c r="A217" s="2">
        <v>1216</v>
      </c>
      <c r="B217" s="7">
        <v>45363</v>
      </c>
      <c r="C217" s="8" t="s">
        <v>73</v>
      </c>
      <c r="D217" s="2" t="s">
        <v>44</v>
      </c>
      <c r="E217" s="2" t="s">
        <v>26</v>
      </c>
      <c r="F217" s="2" t="s">
        <v>37</v>
      </c>
      <c r="G217" s="2" t="s">
        <v>28</v>
      </c>
      <c r="H217" s="2">
        <v>2</v>
      </c>
      <c r="I217" s="4">
        <v>3625</v>
      </c>
      <c r="J217" s="4">
        <v>2675</v>
      </c>
      <c r="K217" s="4">
        <f>Tablo1[[#This Row],[Quantity]]*Tablo1[[#This Row],[Unit_Price]]</f>
        <v>7250</v>
      </c>
      <c r="L217" s="4">
        <f>Tablo1[[#This Row],[Sales]]-(Tablo1[[#This Row],[Quantity]]*Tablo1[[#This Row],[Unit_Cost]])</f>
        <v>1900</v>
      </c>
    </row>
    <row r="218" spans="1:12" x14ac:dyDescent="0.3">
      <c r="A218" s="2">
        <v>1217</v>
      </c>
      <c r="B218" s="7">
        <v>45544</v>
      </c>
      <c r="C218" s="8" t="s">
        <v>76</v>
      </c>
      <c r="D218" s="2" t="s">
        <v>10</v>
      </c>
      <c r="E218" s="2" t="s">
        <v>26</v>
      </c>
      <c r="F218" s="2" t="s">
        <v>37</v>
      </c>
      <c r="G218" s="2" t="s">
        <v>28</v>
      </c>
      <c r="H218" s="2">
        <v>3</v>
      </c>
      <c r="I218" s="4">
        <v>2083</v>
      </c>
      <c r="J218" s="4">
        <v>1186</v>
      </c>
      <c r="K218" s="4">
        <f>Tablo1[[#This Row],[Quantity]]*Tablo1[[#This Row],[Unit_Price]]</f>
        <v>6249</v>
      </c>
      <c r="L218" s="4">
        <f>Tablo1[[#This Row],[Sales]]-(Tablo1[[#This Row],[Quantity]]*Tablo1[[#This Row],[Unit_Cost]])</f>
        <v>2691</v>
      </c>
    </row>
    <row r="219" spans="1:12" x14ac:dyDescent="0.3">
      <c r="A219" s="2">
        <v>1218</v>
      </c>
      <c r="B219" s="7">
        <v>45373</v>
      </c>
      <c r="C219" s="8" t="s">
        <v>74</v>
      </c>
      <c r="D219" s="2" t="s">
        <v>41</v>
      </c>
      <c r="E219" s="2" t="s">
        <v>23</v>
      </c>
      <c r="F219" s="2" t="s">
        <v>29</v>
      </c>
      <c r="G219" s="2" t="s">
        <v>25</v>
      </c>
      <c r="H219" s="2">
        <v>6</v>
      </c>
      <c r="I219" s="4">
        <v>1370</v>
      </c>
      <c r="J219" s="4">
        <v>752</v>
      </c>
      <c r="K219" s="4">
        <f>Tablo1[[#This Row],[Quantity]]*Tablo1[[#This Row],[Unit_Price]]</f>
        <v>8220</v>
      </c>
      <c r="L219" s="4">
        <f>Tablo1[[#This Row],[Sales]]-(Tablo1[[#This Row],[Quantity]]*Tablo1[[#This Row],[Unit_Cost]])</f>
        <v>3708</v>
      </c>
    </row>
    <row r="220" spans="1:12" x14ac:dyDescent="0.3">
      <c r="A220" s="2">
        <v>1219</v>
      </c>
      <c r="B220" s="7">
        <v>45545</v>
      </c>
      <c r="C220" s="8" t="s">
        <v>77</v>
      </c>
      <c r="D220" s="2" t="s">
        <v>13</v>
      </c>
      <c r="E220" s="2" t="s">
        <v>20</v>
      </c>
      <c r="F220" s="2" t="s">
        <v>33</v>
      </c>
      <c r="G220" s="2" t="s">
        <v>34</v>
      </c>
      <c r="H220" s="2">
        <v>10</v>
      </c>
      <c r="I220" s="4">
        <v>3077</v>
      </c>
      <c r="J220" s="4">
        <v>2171</v>
      </c>
      <c r="K220" s="4">
        <f>Tablo1[[#This Row],[Quantity]]*Tablo1[[#This Row],[Unit_Price]]</f>
        <v>30770</v>
      </c>
      <c r="L220" s="4">
        <f>Tablo1[[#This Row],[Sales]]-(Tablo1[[#This Row],[Quantity]]*Tablo1[[#This Row],[Unit_Cost]])</f>
        <v>9060</v>
      </c>
    </row>
    <row r="221" spans="1:12" x14ac:dyDescent="0.3">
      <c r="A221" s="2">
        <v>1220</v>
      </c>
      <c r="B221" s="7">
        <v>45305</v>
      </c>
      <c r="C221" s="8" t="s">
        <v>75</v>
      </c>
      <c r="D221" s="2" t="s">
        <v>43</v>
      </c>
      <c r="E221" s="2" t="s">
        <v>20</v>
      </c>
      <c r="F221" s="2" t="s">
        <v>29</v>
      </c>
      <c r="G221" s="2" t="s">
        <v>25</v>
      </c>
      <c r="H221" s="2">
        <v>9</v>
      </c>
      <c r="I221" s="4">
        <v>1606</v>
      </c>
      <c r="J221" s="4">
        <v>1069</v>
      </c>
      <c r="K221" s="4">
        <f>Tablo1[[#This Row],[Quantity]]*Tablo1[[#This Row],[Unit_Price]]</f>
        <v>14454</v>
      </c>
      <c r="L221" s="4">
        <f>Tablo1[[#This Row],[Sales]]-(Tablo1[[#This Row],[Quantity]]*Tablo1[[#This Row],[Unit_Cost]])</f>
        <v>4833</v>
      </c>
    </row>
    <row r="222" spans="1:12" x14ac:dyDescent="0.3">
      <c r="A222" s="2">
        <v>1221</v>
      </c>
      <c r="B222" s="7">
        <v>45311</v>
      </c>
      <c r="C222" s="8" t="s">
        <v>76</v>
      </c>
      <c r="D222" s="2" t="s">
        <v>22</v>
      </c>
      <c r="E222" s="2" t="s">
        <v>20</v>
      </c>
      <c r="F222" s="2" t="s">
        <v>31</v>
      </c>
      <c r="G222" s="2" t="s">
        <v>17</v>
      </c>
      <c r="H222" s="2">
        <v>4</v>
      </c>
      <c r="I222" s="4">
        <v>11662</v>
      </c>
      <c r="J222" s="4">
        <v>6620</v>
      </c>
      <c r="K222" s="4">
        <f>Tablo1[[#This Row],[Quantity]]*Tablo1[[#This Row],[Unit_Price]]</f>
        <v>46648</v>
      </c>
      <c r="L222" s="4">
        <f>Tablo1[[#This Row],[Sales]]-(Tablo1[[#This Row],[Quantity]]*Tablo1[[#This Row],[Unit_Cost]])</f>
        <v>20168</v>
      </c>
    </row>
    <row r="223" spans="1:12" x14ac:dyDescent="0.3">
      <c r="A223" s="2">
        <v>1222</v>
      </c>
      <c r="B223" s="7">
        <v>45542</v>
      </c>
      <c r="C223" s="8" t="s">
        <v>75</v>
      </c>
      <c r="D223" s="2" t="s">
        <v>13</v>
      </c>
      <c r="E223" s="2" t="s">
        <v>20</v>
      </c>
      <c r="F223" s="2" t="s">
        <v>45</v>
      </c>
      <c r="G223" s="2" t="s">
        <v>34</v>
      </c>
      <c r="H223" s="2">
        <v>9</v>
      </c>
      <c r="I223" s="4">
        <v>5824</v>
      </c>
      <c r="J223" s="4">
        <v>3339</v>
      </c>
      <c r="K223" s="4">
        <f>Tablo1[[#This Row],[Quantity]]*Tablo1[[#This Row],[Unit_Price]]</f>
        <v>52416</v>
      </c>
      <c r="L223" s="4">
        <f>Tablo1[[#This Row],[Sales]]-(Tablo1[[#This Row],[Quantity]]*Tablo1[[#This Row],[Unit_Cost]])</f>
        <v>22365</v>
      </c>
    </row>
    <row r="224" spans="1:12" x14ac:dyDescent="0.3">
      <c r="A224" s="2">
        <v>1223</v>
      </c>
      <c r="B224" s="7">
        <v>45401</v>
      </c>
      <c r="C224" s="8" t="s">
        <v>74</v>
      </c>
      <c r="D224" s="2" t="s">
        <v>19</v>
      </c>
      <c r="E224" s="2" t="s">
        <v>23</v>
      </c>
      <c r="F224" s="2" t="s">
        <v>42</v>
      </c>
      <c r="G224" s="2" t="s">
        <v>12</v>
      </c>
      <c r="H224" s="2">
        <v>8</v>
      </c>
      <c r="I224" s="4">
        <v>23895</v>
      </c>
      <c r="J224" s="4">
        <v>15006</v>
      </c>
      <c r="K224" s="4">
        <f>Tablo1[[#This Row],[Quantity]]*Tablo1[[#This Row],[Unit_Price]]</f>
        <v>191160</v>
      </c>
      <c r="L224" s="4">
        <f>Tablo1[[#This Row],[Sales]]-(Tablo1[[#This Row],[Quantity]]*Tablo1[[#This Row],[Unit_Cost]])</f>
        <v>71112</v>
      </c>
    </row>
    <row r="225" spans="1:12" x14ac:dyDescent="0.3">
      <c r="A225" s="2">
        <v>1224</v>
      </c>
      <c r="B225" s="7">
        <v>45298</v>
      </c>
      <c r="C225" s="8" t="s">
        <v>73</v>
      </c>
      <c r="D225" s="2" t="s">
        <v>15</v>
      </c>
      <c r="E225" s="2" t="s">
        <v>20</v>
      </c>
      <c r="F225" s="2" t="s">
        <v>14</v>
      </c>
      <c r="G225" s="2" t="s">
        <v>12</v>
      </c>
      <c r="H225" s="2">
        <v>1</v>
      </c>
      <c r="I225" s="4">
        <v>19597</v>
      </c>
      <c r="J225" s="4">
        <v>11773</v>
      </c>
      <c r="K225" s="4">
        <f>Tablo1[[#This Row],[Quantity]]*Tablo1[[#This Row],[Unit_Price]]</f>
        <v>19597</v>
      </c>
      <c r="L225" s="4">
        <f>Tablo1[[#This Row],[Sales]]-(Tablo1[[#This Row],[Quantity]]*Tablo1[[#This Row],[Unit_Cost]])</f>
        <v>7824</v>
      </c>
    </row>
    <row r="226" spans="1:12" x14ac:dyDescent="0.3">
      <c r="A226" s="2">
        <v>1225</v>
      </c>
      <c r="B226" s="7">
        <v>45606</v>
      </c>
      <c r="C226" s="8" t="s">
        <v>73</v>
      </c>
      <c r="D226" s="2" t="s">
        <v>35</v>
      </c>
      <c r="E226" s="2" t="s">
        <v>30</v>
      </c>
      <c r="F226" s="2" t="s">
        <v>14</v>
      </c>
      <c r="G226" s="2" t="s">
        <v>12</v>
      </c>
      <c r="H226" s="2">
        <v>8</v>
      </c>
      <c r="I226" s="4">
        <v>13641</v>
      </c>
      <c r="J226" s="4">
        <v>8655</v>
      </c>
      <c r="K226" s="4">
        <f>Tablo1[[#This Row],[Quantity]]*Tablo1[[#This Row],[Unit_Price]]</f>
        <v>109128</v>
      </c>
      <c r="L226" s="4">
        <f>Tablo1[[#This Row],[Sales]]-(Tablo1[[#This Row],[Quantity]]*Tablo1[[#This Row],[Unit_Cost]])</f>
        <v>39888</v>
      </c>
    </row>
    <row r="227" spans="1:12" x14ac:dyDescent="0.3">
      <c r="A227" s="2">
        <v>1226</v>
      </c>
      <c r="B227" s="7">
        <v>45428</v>
      </c>
      <c r="C227" s="8" t="s">
        <v>75</v>
      </c>
      <c r="D227" s="2" t="s">
        <v>13</v>
      </c>
      <c r="E227" s="2" t="s">
        <v>23</v>
      </c>
      <c r="F227" s="2" t="s">
        <v>33</v>
      </c>
      <c r="G227" s="2" t="s">
        <v>34</v>
      </c>
      <c r="H227" s="2">
        <v>7</v>
      </c>
      <c r="I227" s="4">
        <v>4803</v>
      </c>
      <c r="J227" s="4">
        <v>3231</v>
      </c>
      <c r="K227" s="4">
        <f>Tablo1[[#This Row],[Quantity]]*Tablo1[[#This Row],[Unit_Price]]</f>
        <v>33621</v>
      </c>
      <c r="L227" s="4">
        <f>Tablo1[[#This Row],[Sales]]-(Tablo1[[#This Row],[Quantity]]*Tablo1[[#This Row],[Unit_Cost]])</f>
        <v>11004</v>
      </c>
    </row>
    <row r="228" spans="1:12" x14ac:dyDescent="0.3">
      <c r="A228" s="2">
        <v>1227</v>
      </c>
      <c r="B228" s="7">
        <v>45574</v>
      </c>
      <c r="C228" s="8" t="s">
        <v>74</v>
      </c>
      <c r="D228" s="2" t="s">
        <v>32</v>
      </c>
      <c r="E228" s="2" t="s">
        <v>38</v>
      </c>
      <c r="F228" s="2" t="s">
        <v>39</v>
      </c>
      <c r="G228" s="2" t="s">
        <v>28</v>
      </c>
      <c r="H228" s="2">
        <v>2</v>
      </c>
      <c r="I228" s="4">
        <v>558</v>
      </c>
      <c r="J228" s="4">
        <v>327</v>
      </c>
      <c r="K228" s="4">
        <f>Tablo1[[#This Row],[Quantity]]*Tablo1[[#This Row],[Unit_Price]]</f>
        <v>1116</v>
      </c>
      <c r="L228" s="4">
        <f>Tablo1[[#This Row],[Sales]]-(Tablo1[[#This Row],[Quantity]]*Tablo1[[#This Row],[Unit_Cost]])</f>
        <v>462</v>
      </c>
    </row>
    <row r="229" spans="1:12" x14ac:dyDescent="0.3">
      <c r="A229" s="2">
        <v>1228</v>
      </c>
      <c r="B229" s="7">
        <v>45532</v>
      </c>
      <c r="C229" s="8" t="s">
        <v>76</v>
      </c>
      <c r="D229" s="2" t="s">
        <v>32</v>
      </c>
      <c r="E229" s="2" t="s">
        <v>20</v>
      </c>
      <c r="F229" s="2" t="s">
        <v>29</v>
      </c>
      <c r="G229" s="2" t="s">
        <v>25</v>
      </c>
      <c r="H229" s="2">
        <v>10</v>
      </c>
      <c r="I229" s="4">
        <v>4956</v>
      </c>
      <c r="J229" s="4">
        <v>3310</v>
      </c>
      <c r="K229" s="4">
        <f>Tablo1[[#This Row],[Quantity]]*Tablo1[[#This Row],[Unit_Price]]</f>
        <v>49560</v>
      </c>
      <c r="L229" s="4">
        <f>Tablo1[[#This Row],[Sales]]-(Tablo1[[#This Row],[Quantity]]*Tablo1[[#This Row],[Unit_Cost]])</f>
        <v>16460</v>
      </c>
    </row>
    <row r="230" spans="1:12" x14ac:dyDescent="0.3">
      <c r="A230" s="2">
        <v>1229</v>
      </c>
      <c r="B230" s="7">
        <v>45570</v>
      </c>
      <c r="C230" s="8" t="s">
        <v>75</v>
      </c>
      <c r="D230" s="2" t="s">
        <v>15</v>
      </c>
      <c r="E230" s="2" t="s">
        <v>26</v>
      </c>
      <c r="F230" s="2" t="s">
        <v>24</v>
      </c>
      <c r="G230" s="2" t="s">
        <v>25</v>
      </c>
      <c r="H230" s="2">
        <v>8</v>
      </c>
      <c r="I230" s="4">
        <v>6164</v>
      </c>
      <c r="J230" s="4">
        <v>4215</v>
      </c>
      <c r="K230" s="4">
        <f>Tablo1[[#This Row],[Quantity]]*Tablo1[[#This Row],[Unit_Price]]</f>
        <v>49312</v>
      </c>
      <c r="L230" s="4">
        <f>Tablo1[[#This Row],[Sales]]-(Tablo1[[#This Row],[Quantity]]*Tablo1[[#This Row],[Unit_Cost]])</f>
        <v>15592</v>
      </c>
    </row>
    <row r="231" spans="1:12" x14ac:dyDescent="0.3">
      <c r="A231" s="2">
        <v>1230</v>
      </c>
      <c r="B231" s="7">
        <v>45548</v>
      </c>
      <c r="C231" s="8" t="s">
        <v>73</v>
      </c>
      <c r="D231" s="2" t="s">
        <v>15</v>
      </c>
      <c r="E231" s="2" t="s">
        <v>20</v>
      </c>
      <c r="F231" s="2" t="s">
        <v>27</v>
      </c>
      <c r="G231" s="2" t="s">
        <v>28</v>
      </c>
      <c r="H231" s="2">
        <v>2</v>
      </c>
      <c r="I231" s="4">
        <v>1958</v>
      </c>
      <c r="J231" s="4">
        <v>1550</v>
      </c>
      <c r="K231" s="4">
        <f>Tablo1[[#This Row],[Quantity]]*Tablo1[[#This Row],[Unit_Price]]</f>
        <v>3916</v>
      </c>
      <c r="L231" s="4">
        <f>Tablo1[[#This Row],[Sales]]-(Tablo1[[#This Row],[Quantity]]*Tablo1[[#This Row],[Unit_Cost]])</f>
        <v>816</v>
      </c>
    </row>
    <row r="232" spans="1:12" x14ac:dyDescent="0.3">
      <c r="A232" s="2">
        <v>1231</v>
      </c>
      <c r="B232" s="7">
        <v>45561</v>
      </c>
      <c r="C232" s="8" t="s">
        <v>76</v>
      </c>
      <c r="D232" s="2" t="s">
        <v>13</v>
      </c>
      <c r="E232" s="2" t="s">
        <v>38</v>
      </c>
      <c r="F232" s="2" t="s">
        <v>45</v>
      </c>
      <c r="G232" s="2" t="s">
        <v>34</v>
      </c>
      <c r="H232" s="2">
        <v>1</v>
      </c>
      <c r="I232" s="4">
        <v>4513</v>
      </c>
      <c r="J232" s="4">
        <v>2443</v>
      </c>
      <c r="K232" s="4">
        <f>Tablo1[[#This Row],[Quantity]]*Tablo1[[#This Row],[Unit_Price]]</f>
        <v>4513</v>
      </c>
      <c r="L232" s="4">
        <f>Tablo1[[#This Row],[Sales]]-(Tablo1[[#This Row],[Quantity]]*Tablo1[[#This Row],[Unit_Cost]])</f>
        <v>2070</v>
      </c>
    </row>
    <row r="233" spans="1:12" x14ac:dyDescent="0.3">
      <c r="A233" s="2">
        <v>1232</v>
      </c>
      <c r="B233" s="7">
        <v>45584</v>
      </c>
      <c r="C233" s="8" t="s">
        <v>74</v>
      </c>
      <c r="D233" s="2" t="s">
        <v>19</v>
      </c>
      <c r="E233" s="2" t="s">
        <v>20</v>
      </c>
      <c r="F233" s="2" t="s">
        <v>48</v>
      </c>
      <c r="G233" s="2" t="s">
        <v>34</v>
      </c>
      <c r="H233" s="2">
        <v>6</v>
      </c>
      <c r="I233" s="4">
        <v>6395</v>
      </c>
      <c r="J233" s="4">
        <v>4077</v>
      </c>
      <c r="K233" s="4">
        <f>Tablo1[[#This Row],[Quantity]]*Tablo1[[#This Row],[Unit_Price]]</f>
        <v>38370</v>
      </c>
      <c r="L233" s="4">
        <f>Tablo1[[#This Row],[Sales]]-(Tablo1[[#This Row],[Quantity]]*Tablo1[[#This Row],[Unit_Cost]])</f>
        <v>13908</v>
      </c>
    </row>
    <row r="234" spans="1:12" x14ac:dyDescent="0.3">
      <c r="A234" s="2">
        <v>1233</v>
      </c>
      <c r="B234" s="7">
        <v>45321</v>
      </c>
      <c r="C234" s="8" t="s">
        <v>77</v>
      </c>
      <c r="D234" s="2" t="s">
        <v>41</v>
      </c>
      <c r="E234" s="2" t="s">
        <v>20</v>
      </c>
      <c r="F234" s="2" t="s">
        <v>27</v>
      </c>
      <c r="G234" s="2" t="s">
        <v>28</v>
      </c>
      <c r="H234" s="2">
        <v>1</v>
      </c>
      <c r="I234" s="4">
        <v>2916</v>
      </c>
      <c r="J234" s="4">
        <v>1548</v>
      </c>
      <c r="K234" s="4">
        <f>Tablo1[[#This Row],[Quantity]]*Tablo1[[#This Row],[Unit_Price]]</f>
        <v>2916</v>
      </c>
      <c r="L234" s="4">
        <f>Tablo1[[#This Row],[Sales]]-(Tablo1[[#This Row],[Quantity]]*Tablo1[[#This Row],[Unit_Cost]])</f>
        <v>1368</v>
      </c>
    </row>
    <row r="235" spans="1:12" x14ac:dyDescent="0.3">
      <c r="A235" s="2">
        <v>1234</v>
      </c>
      <c r="B235" s="7">
        <v>45461</v>
      </c>
      <c r="C235" s="8" t="s">
        <v>75</v>
      </c>
      <c r="D235" s="2" t="s">
        <v>44</v>
      </c>
      <c r="E235" s="2" t="s">
        <v>38</v>
      </c>
      <c r="F235" s="2" t="s">
        <v>40</v>
      </c>
      <c r="G235" s="2" t="s">
        <v>25</v>
      </c>
      <c r="H235" s="2">
        <v>6</v>
      </c>
      <c r="I235" s="4">
        <v>4931</v>
      </c>
      <c r="J235" s="4">
        <v>2962</v>
      </c>
      <c r="K235" s="4">
        <f>Tablo1[[#This Row],[Quantity]]*Tablo1[[#This Row],[Unit_Price]]</f>
        <v>29586</v>
      </c>
      <c r="L235" s="4">
        <f>Tablo1[[#This Row],[Sales]]-(Tablo1[[#This Row],[Quantity]]*Tablo1[[#This Row],[Unit_Cost]])</f>
        <v>11814</v>
      </c>
    </row>
    <row r="236" spans="1:12" x14ac:dyDescent="0.3">
      <c r="A236" s="2">
        <v>1235</v>
      </c>
      <c r="B236" s="7">
        <v>45489</v>
      </c>
      <c r="C236" s="8" t="s">
        <v>76</v>
      </c>
      <c r="D236" s="2" t="s">
        <v>22</v>
      </c>
      <c r="E236" s="2" t="s">
        <v>26</v>
      </c>
      <c r="F236" s="2" t="s">
        <v>37</v>
      </c>
      <c r="G236" s="2" t="s">
        <v>28</v>
      </c>
      <c r="H236" s="2">
        <v>1</v>
      </c>
      <c r="I236" s="4">
        <v>1808</v>
      </c>
      <c r="J236" s="4">
        <v>973</v>
      </c>
      <c r="K236" s="4">
        <f>Tablo1[[#This Row],[Quantity]]*Tablo1[[#This Row],[Unit_Price]]</f>
        <v>1808</v>
      </c>
      <c r="L236" s="4">
        <f>Tablo1[[#This Row],[Sales]]-(Tablo1[[#This Row],[Quantity]]*Tablo1[[#This Row],[Unit_Cost]])</f>
        <v>835</v>
      </c>
    </row>
    <row r="237" spans="1:12" x14ac:dyDescent="0.3">
      <c r="A237" s="2">
        <v>1236</v>
      </c>
      <c r="B237" s="7">
        <v>45352</v>
      </c>
      <c r="C237" s="8" t="s">
        <v>75</v>
      </c>
      <c r="D237" s="2" t="s">
        <v>15</v>
      </c>
      <c r="E237" s="2" t="s">
        <v>38</v>
      </c>
      <c r="F237" s="2" t="s">
        <v>46</v>
      </c>
      <c r="G237" s="2" t="s">
        <v>17</v>
      </c>
      <c r="H237" s="2">
        <v>2</v>
      </c>
      <c r="I237" s="4">
        <v>3613</v>
      </c>
      <c r="J237" s="4">
        <v>2216</v>
      </c>
      <c r="K237" s="4">
        <f>Tablo1[[#This Row],[Quantity]]*Tablo1[[#This Row],[Unit_Price]]</f>
        <v>7226</v>
      </c>
      <c r="L237" s="4">
        <f>Tablo1[[#This Row],[Sales]]-(Tablo1[[#This Row],[Quantity]]*Tablo1[[#This Row],[Unit_Cost]])</f>
        <v>2794</v>
      </c>
    </row>
    <row r="238" spans="1:12" x14ac:dyDescent="0.3">
      <c r="A238" s="2">
        <v>1237</v>
      </c>
      <c r="B238" s="7">
        <v>45384</v>
      </c>
      <c r="C238" s="8" t="s">
        <v>74</v>
      </c>
      <c r="D238" s="2" t="s">
        <v>41</v>
      </c>
      <c r="E238" s="2" t="s">
        <v>30</v>
      </c>
      <c r="F238" s="2" t="s">
        <v>48</v>
      </c>
      <c r="G238" s="2" t="s">
        <v>34</v>
      </c>
      <c r="H238" s="2">
        <v>2</v>
      </c>
      <c r="I238" s="4">
        <v>4498</v>
      </c>
      <c r="J238" s="4">
        <v>2788</v>
      </c>
      <c r="K238" s="4">
        <f>Tablo1[[#This Row],[Quantity]]*Tablo1[[#This Row],[Unit_Price]]</f>
        <v>8996</v>
      </c>
      <c r="L238" s="4">
        <f>Tablo1[[#This Row],[Sales]]-(Tablo1[[#This Row],[Quantity]]*Tablo1[[#This Row],[Unit_Cost]])</f>
        <v>3420</v>
      </c>
    </row>
    <row r="239" spans="1:12" x14ac:dyDescent="0.3">
      <c r="A239" s="2">
        <v>1238</v>
      </c>
      <c r="B239" s="7">
        <v>45519</v>
      </c>
      <c r="C239" s="8" t="s">
        <v>73</v>
      </c>
      <c r="D239" s="2" t="s">
        <v>32</v>
      </c>
      <c r="E239" s="2" t="s">
        <v>30</v>
      </c>
      <c r="F239" s="2" t="s">
        <v>50</v>
      </c>
      <c r="G239" s="2" t="s">
        <v>28</v>
      </c>
      <c r="H239" s="2">
        <v>3</v>
      </c>
      <c r="I239" s="4">
        <v>1518</v>
      </c>
      <c r="J239" s="4">
        <v>1100</v>
      </c>
      <c r="K239" s="4">
        <f>Tablo1[[#This Row],[Quantity]]*Tablo1[[#This Row],[Unit_Price]]</f>
        <v>4554</v>
      </c>
      <c r="L239" s="4">
        <f>Tablo1[[#This Row],[Sales]]-(Tablo1[[#This Row],[Quantity]]*Tablo1[[#This Row],[Unit_Cost]])</f>
        <v>1254</v>
      </c>
    </row>
    <row r="240" spans="1:12" x14ac:dyDescent="0.3">
      <c r="A240" s="2">
        <v>1239</v>
      </c>
      <c r="B240" s="7">
        <v>45412</v>
      </c>
      <c r="C240" s="8" t="s">
        <v>73</v>
      </c>
      <c r="D240" s="2" t="s">
        <v>22</v>
      </c>
      <c r="E240" s="2" t="s">
        <v>23</v>
      </c>
      <c r="F240" s="2" t="s">
        <v>27</v>
      </c>
      <c r="G240" s="2" t="s">
        <v>28</v>
      </c>
      <c r="H240" s="2">
        <v>10</v>
      </c>
      <c r="I240" s="4">
        <v>1909</v>
      </c>
      <c r="J240" s="4">
        <v>1061</v>
      </c>
      <c r="K240" s="4">
        <f>Tablo1[[#This Row],[Quantity]]*Tablo1[[#This Row],[Unit_Price]]</f>
        <v>19090</v>
      </c>
      <c r="L240" s="4">
        <f>Tablo1[[#This Row],[Sales]]-(Tablo1[[#This Row],[Quantity]]*Tablo1[[#This Row],[Unit_Cost]])</f>
        <v>8480</v>
      </c>
    </row>
    <row r="241" spans="1:12" x14ac:dyDescent="0.3">
      <c r="A241" s="2">
        <v>1240</v>
      </c>
      <c r="B241" s="7">
        <v>45457</v>
      </c>
      <c r="C241" s="8" t="s">
        <v>75</v>
      </c>
      <c r="D241" s="2" t="s">
        <v>41</v>
      </c>
      <c r="E241" s="2" t="s">
        <v>20</v>
      </c>
      <c r="F241" s="2" t="s">
        <v>46</v>
      </c>
      <c r="G241" s="2" t="s">
        <v>17</v>
      </c>
      <c r="H241" s="2">
        <v>9</v>
      </c>
      <c r="I241" s="4">
        <v>4920</v>
      </c>
      <c r="J241" s="4">
        <v>3821</v>
      </c>
      <c r="K241" s="4">
        <f>Tablo1[[#This Row],[Quantity]]*Tablo1[[#This Row],[Unit_Price]]</f>
        <v>44280</v>
      </c>
      <c r="L241" s="4">
        <f>Tablo1[[#This Row],[Sales]]-(Tablo1[[#This Row],[Quantity]]*Tablo1[[#This Row],[Unit_Cost]])</f>
        <v>9891</v>
      </c>
    </row>
    <row r="242" spans="1:12" x14ac:dyDescent="0.3">
      <c r="A242" s="2">
        <v>1241</v>
      </c>
      <c r="B242" s="7">
        <v>45581</v>
      </c>
      <c r="C242" s="8" t="s">
        <v>74</v>
      </c>
      <c r="D242" s="2" t="s">
        <v>41</v>
      </c>
      <c r="E242" s="2" t="s">
        <v>26</v>
      </c>
      <c r="F242" s="2" t="s">
        <v>42</v>
      </c>
      <c r="G242" s="2" t="s">
        <v>12</v>
      </c>
      <c r="H242" s="2">
        <v>5</v>
      </c>
      <c r="I242" s="4">
        <v>6043</v>
      </c>
      <c r="J242" s="4">
        <v>3815</v>
      </c>
      <c r="K242" s="4">
        <f>Tablo1[[#This Row],[Quantity]]*Tablo1[[#This Row],[Unit_Price]]</f>
        <v>30215</v>
      </c>
      <c r="L242" s="4">
        <f>Tablo1[[#This Row],[Sales]]-(Tablo1[[#This Row],[Quantity]]*Tablo1[[#This Row],[Unit_Cost]])</f>
        <v>11140</v>
      </c>
    </row>
    <row r="243" spans="1:12" x14ac:dyDescent="0.3">
      <c r="A243" s="2">
        <v>1242</v>
      </c>
      <c r="B243" s="7">
        <v>45525</v>
      </c>
      <c r="C243" s="8" t="s">
        <v>76</v>
      </c>
      <c r="D243" s="2" t="s">
        <v>10</v>
      </c>
      <c r="E243" s="2" t="s">
        <v>38</v>
      </c>
      <c r="F243" s="2" t="s">
        <v>48</v>
      </c>
      <c r="G243" s="2" t="s">
        <v>34</v>
      </c>
      <c r="H243" s="2">
        <v>5</v>
      </c>
      <c r="I243" s="4">
        <v>1256</v>
      </c>
      <c r="J243" s="4">
        <v>951</v>
      </c>
      <c r="K243" s="4">
        <f>Tablo1[[#This Row],[Quantity]]*Tablo1[[#This Row],[Unit_Price]]</f>
        <v>6280</v>
      </c>
      <c r="L243" s="4">
        <f>Tablo1[[#This Row],[Sales]]-(Tablo1[[#This Row],[Quantity]]*Tablo1[[#This Row],[Unit_Cost]])</f>
        <v>1525</v>
      </c>
    </row>
    <row r="244" spans="1:12" x14ac:dyDescent="0.3">
      <c r="A244" s="2">
        <v>1243</v>
      </c>
      <c r="B244" s="7">
        <v>45292</v>
      </c>
      <c r="C244" s="8" t="s">
        <v>75</v>
      </c>
      <c r="D244" s="2" t="s">
        <v>22</v>
      </c>
      <c r="E244" s="2" t="s">
        <v>20</v>
      </c>
      <c r="F244" s="2" t="s">
        <v>24</v>
      </c>
      <c r="G244" s="2" t="s">
        <v>25</v>
      </c>
      <c r="H244" s="2">
        <v>8</v>
      </c>
      <c r="I244" s="4">
        <v>3294</v>
      </c>
      <c r="J244" s="4">
        <v>2313</v>
      </c>
      <c r="K244" s="4">
        <f>Tablo1[[#This Row],[Quantity]]*Tablo1[[#This Row],[Unit_Price]]</f>
        <v>26352</v>
      </c>
      <c r="L244" s="4">
        <f>Tablo1[[#This Row],[Sales]]-(Tablo1[[#This Row],[Quantity]]*Tablo1[[#This Row],[Unit_Cost]])</f>
        <v>7848</v>
      </c>
    </row>
    <row r="245" spans="1:12" x14ac:dyDescent="0.3">
      <c r="A245" s="2">
        <v>1244</v>
      </c>
      <c r="B245" s="7">
        <v>45428</v>
      </c>
      <c r="C245" s="8" t="s">
        <v>73</v>
      </c>
      <c r="D245" s="2" t="s">
        <v>15</v>
      </c>
      <c r="E245" s="2" t="s">
        <v>26</v>
      </c>
      <c r="F245" s="2" t="s">
        <v>42</v>
      </c>
      <c r="G245" s="2" t="s">
        <v>12</v>
      </c>
      <c r="H245" s="2">
        <v>2</v>
      </c>
      <c r="I245" s="4">
        <v>9488</v>
      </c>
      <c r="J245" s="4">
        <v>6178</v>
      </c>
      <c r="K245" s="4">
        <f>Tablo1[[#This Row],[Quantity]]*Tablo1[[#This Row],[Unit_Price]]</f>
        <v>18976</v>
      </c>
      <c r="L245" s="4">
        <f>Tablo1[[#This Row],[Sales]]-(Tablo1[[#This Row],[Quantity]]*Tablo1[[#This Row],[Unit_Cost]])</f>
        <v>6620</v>
      </c>
    </row>
    <row r="246" spans="1:12" x14ac:dyDescent="0.3">
      <c r="A246" s="2">
        <v>1245</v>
      </c>
      <c r="B246" s="7">
        <v>45638</v>
      </c>
      <c r="C246" s="8" t="s">
        <v>76</v>
      </c>
      <c r="D246" s="2" t="s">
        <v>13</v>
      </c>
      <c r="E246" s="2" t="s">
        <v>30</v>
      </c>
      <c r="F246" s="2" t="s">
        <v>40</v>
      </c>
      <c r="G246" s="2" t="s">
        <v>25</v>
      </c>
      <c r="H246" s="2">
        <v>10</v>
      </c>
      <c r="I246" s="4">
        <v>3442</v>
      </c>
      <c r="J246" s="4">
        <v>1753</v>
      </c>
      <c r="K246" s="4">
        <f>Tablo1[[#This Row],[Quantity]]*Tablo1[[#This Row],[Unit_Price]]</f>
        <v>34420</v>
      </c>
      <c r="L246" s="4">
        <f>Tablo1[[#This Row],[Sales]]-(Tablo1[[#This Row],[Quantity]]*Tablo1[[#This Row],[Unit_Cost]])</f>
        <v>16890</v>
      </c>
    </row>
    <row r="247" spans="1:12" x14ac:dyDescent="0.3">
      <c r="A247" s="2">
        <v>1246</v>
      </c>
      <c r="B247" s="7">
        <v>45425</v>
      </c>
      <c r="C247" s="8" t="s">
        <v>74</v>
      </c>
      <c r="D247" s="2" t="s">
        <v>15</v>
      </c>
      <c r="E247" s="2" t="s">
        <v>38</v>
      </c>
      <c r="F247" s="2" t="s">
        <v>31</v>
      </c>
      <c r="G247" s="2" t="s">
        <v>17</v>
      </c>
      <c r="H247" s="2">
        <v>7</v>
      </c>
      <c r="I247" s="4">
        <v>8760</v>
      </c>
      <c r="J247" s="4">
        <v>6692</v>
      </c>
      <c r="K247" s="4">
        <f>Tablo1[[#This Row],[Quantity]]*Tablo1[[#This Row],[Unit_Price]]</f>
        <v>61320</v>
      </c>
      <c r="L247" s="4">
        <f>Tablo1[[#This Row],[Sales]]-(Tablo1[[#This Row],[Quantity]]*Tablo1[[#This Row],[Unit_Cost]])</f>
        <v>14476</v>
      </c>
    </row>
    <row r="248" spans="1:12" x14ac:dyDescent="0.3">
      <c r="A248" s="2">
        <v>1247</v>
      </c>
      <c r="B248" s="7">
        <v>45573</v>
      </c>
      <c r="C248" s="8" t="s">
        <v>77</v>
      </c>
      <c r="D248" s="2" t="s">
        <v>22</v>
      </c>
      <c r="E248" s="2" t="s">
        <v>23</v>
      </c>
      <c r="F248" s="2" t="s">
        <v>37</v>
      </c>
      <c r="G248" s="2" t="s">
        <v>28</v>
      </c>
      <c r="H248" s="2">
        <v>10</v>
      </c>
      <c r="I248" s="4">
        <v>2508</v>
      </c>
      <c r="J248" s="4">
        <v>1980</v>
      </c>
      <c r="K248" s="4">
        <f>Tablo1[[#This Row],[Quantity]]*Tablo1[[#This Row],[Unit_Price]]</f>
        <v>25080</v>
      </c>
      <c r="L248" s="4">
        <f>Tablo1[[#This Row],[Sales]]-(Tablo1[[#This Row],[Quantity]]*Tablo1[[#This Row],[Unit_Cost]])</f>
        <v>5280</v>
      </c>
    </row>
    <row r="249" spans="1:12" x14ac:dyDescent="0.3">
      <c r="A249" s="2">
        <v>1248</v>
      </c>
      <c r="B249" s="7">
        <v>45415</v>
      </c>
      <c r="C249" s="8" t="s">
        <v>75</v>
      </c>
      <c r="D249" s="2" t="s">
        <v>41</v>
      </c>
      <c r="E249" s="2" t="s">
        <v>23</v>
      </c>
      <c r="F249" s="2" t="s">
        <v>50</v>
      </c>
      <c r="G249" s="2" t="s">
        <v>28</v>
      </c>
      <c r="H249" s="2">
        <v>9</v>
      </c>
      <c r="I249" s="4">
        <v>3296</v>
      </c>
      <c r="J249" s="4">
        <v>1737</v>
      </c>
      <c r="K249" s="4">
        <f>Tablo1[[#This Row],[Quantity]]*Tablo1[[#This Row],[Unit_Price]]</f>
        <v>29664</v>
      </c>
      <c r="L249" s="4">
        <f>Tablo1[[#This Row],[Sales]]-(Tablo1[[#This Row],[Quantity]]*Tablo1[[#This Row],[Unit_Cost]])</f>
        <v>14031</v>
      </c>
    </row>
    <row r="250" spans="1:12" x14ac:dyDescent="0.3">
      <c r="A250" s="2">
        <v>1249</v>
      </c>
      <c r="B250" s="7">
        <v>45370</v>
      </c>
      <c r="C250" s="8" t="s">
        <v>76</v>
      </c>
      <c r="D250" s="2" t="s">
        <v>13</v>
      </c>
      <c r="E250" s="2" t="s">
        <v>30</v>
      </c>
      <c r="F250" s="2" t="s">
        <v>27</v>
      </c>
      <c r="G250" s="2" t="s">
        <v>28</v>
      </c>
      <c r="H250" s="2">
        <v>5</v>
      </c>
      <c r="I250" s="4">
        <v>2947</v>
      </c>
      <c r="J250" s="4">
        <v>2120</v>
      </c>
      <c r="K250" s="4">
        <f>Tablo1[[#This Row],[Quantity]]*Tablo1[[#This Row],[Unit_Price]]</f>
        <v>14735</v>
      </c>
      <c r="L250" s="4">
        <f>Tablo1[[#This Row],[Sales]]-(Tablo1[[#This Row],[Quantity]]*Tablo1[[#This Row],[Unit_Cost]])</f>
        <v>4135</v>
      </c>
    </row>
    <row r="251" spans="1:12" x14ac:dyDescent="0.3">
      <c r="A251" s="2">
        <v>1250</v>
      </c>
      <c r="B251" s="7">
        <v>45299</v>
      </c>
      <c r="C251" s="8" t="s">
        <v>75</v>
      </c>
      <c r="D251" s="2" t="s">
        <v>44</v>
      </c>
      <c r="E251" s="2" t="s">
        <v>23</v>
      </c>
      <c r="F251" s="2" t="s">
        <v>21</v>
      </c>
      <c r="G251" s="2" t="s">
        <v>17</v>
      </c>
      <c r="H251" s="2">
        <v>2</v>
      </c>
      <c r="I251" s="4">
        <v>6963</v>
      </c>
      <c r="J251" s="4">
        <v>4879</v>
      </c>
      <c r="K251" s="4">
        <f>Tablo1[[#This Row],[Quantity]]*Tablo1[[#This Row],[Unit_Price]]</f>
        <v>13926</v>
      </c>
      <c r="L251" s="4">
        <f>Tablo1[[#This Row],[Sales]]-(Tablo1[[#This Row],[Quantity]]*Tablo1[[#This Row],[Unit_Cost]])</f>
        <v>4168</v>
      </c>
    </row>
    <row r="252" spans="1:12" x14ac:dyDescent="0.3">
      <c r="A252" s="2">
        <v>1251</v>
      </c>
      <c r="B252" s="7">
        <v>45354</v>
      </c>
      <c r="C252" s="8" t="s">
        <v>74</v>
      </c>
      <c r="D252" s="2" t="s">
        <v>22</v>
      </c>
      <c r="E252" s="2" t="s">
        <v>20</v>
      </c>
      <c r="F252" s="2" t="s">
        <v>29</v>
      </c>
      <c r="G252" s="2" t="s">
        <v>25</v>
      </c>
      <c r="H252" s="2">
        <v>4</v>
      </c>
      <c r="I252" s="4">
        <v>2962</v>
      </c>
      <c r="J252" s="4">
        <v>1836</v>
      </c>
      <c r="K252" s="4">
        <f>Tablo1[[#This Row],[Quantity]]*Tablo1[[#This Row],[Unit_Price]]</f>
        <v>11848</v>
      </c>
      <c r="L252" s="4">
        <f>Tablo1[[#This Row],[Sales]]-(Tablo1[[#This Row],[Quantity]]*Tablo1[[#This Row],[Unit_Cost]])</f>
        <v>4504</v>
      </c>
    </row>
    <row r="253" spans="1:12" x14ac:dyDescent="0.3">
      <c r="A253" s="2">
        <v>1252</v>
      </c>
      <c r="B253" s="7">
        <v>45603</v>
      </c>
      <c r="C253" s="8" t="s">
        <v>73</v>
      </c>
      <c r="D253" s="2" t="s">
        <v>10</v>
      </c>
      <c r="E253" s="2" t="s">
        <v>26</v>
      </c>
      <c r="F253" s="2" t="s">
        <v>33</v>
      </c>
      <c r="G253" s="2" t="s">
        <v>34</v>
      </c>
      <c r="H253" s="2">
        <v>9</v>
      </c>
      <c r="I253" s="4">
        <v>2613</v>
      </c>
      <c r="J253" s="4">
        <v>1817</v>
      </c>
      <c r="K253" s="4">
        <f>Tablo1[[#This Row],[Quantity]]*Tablo1[[#This Row],[Unit_Price]]</f>
        <v>23517</v>
      </c>
      <c r="L253" s="4">
        <f>Tablo1[[#This Row],[Sales]]-(Tablo1[[#This Row],[Quantity]]*Tablo1[[#This Row],[Unit_Cost]])</f>
        <v>7164</v>
      </c>
    </row>
    <row r="254" spans="1:12" x14ac:dyDescent="0.3">
      <c r="A254" s="2">
        <v>1253</v>
      </c>
      <c r="B254" s="7">
        <v>45429</v>
      </c>
      <c r="C254" s="8" t="s">
        <v>73</v>
      </c>
      <c r="D254" s="2" t="s">
        <v>32</v>
      </c>
      <c r="E254" s="2" t="s">
        <v>20</v>
      </c>
      <c r="F254" s="2" t="s">
        <v>29</v>
      </c>
      <c r="G254" s="2" t="s">
        <v>25</v>
      </c>
      <c r="H254" s="2">
        <v>3</v>
      </c>
      <c r="I254" s="4">
        <v>4395</v>
      </c>
      <c r="J254" s="4">
        <v>2977</v>
      </c>
      <c r="K254" s="4">
        <f>Tablo1[[#This Row],[Quantity]]*Tablo1[[#This Row],[Unit_Price]]</f>
        <v>13185</v>
      </c>
      <c r="L254" s="4">
        <f>Tablo1[[#This Row],[Sales]]-(Tablo1[[#This Row],[Quantity]]*Tablo1[[#This Row],[Unit_Cost]])</f>
        <v>4254</v>
      </c>
    </row>
    <row r="255" spans="1:12" x14ac:dyDescent="0.3">
      <c r="A255" s="2">
        <v>1254</v>
      </c>
      <c r="B255" s="7">
        <v>45494</v>
      </c>
      <c r="C255" s="8" t="s">
        <v>75</v>
      </c>
      <c r="D255" s="2" t="s">
        <v>32</v>
      </c>
      <c r="E255" s="2" t="s">
        <v>20</v>
      </c>
      <c r="F255" s="2" t="s">
        <v>11</v>
      </c>
      <c r="G255" s="2" t="s">
        <v>12</v>
      </c>
      <c r="H255" s="2">
        <v>4</v>
      </c>
      <c r="I255" s="4">
        <v>18916</v>
      </c>
      <c r="J255" s="4">
        <v>10336</v>
      </c>
      <c r="K255" s="4">
        <f>Tablo1[[#This Row],[Quantity]]*Tablo1[[#This Row],[Unit_Price]]</f>
        <v>75664</v>
      </c>
      <c r="L255" s="4">
        <f>Tablo1[[#This Row],[Sales]]-(Tablo1[[#This Row],[Quantity]]*Tablo1[[#This Row],[Unit_Cost]])</f>
        <v>34320</v>
      </c>
    </row>
    <row r="256" spans="1:12" x14ac:dyDescent="0.3">
      <c r="A256" s="2">
        <v>1255</v>
      </c>
      <c r="B256" s="7">
        <v>45376</v>
      </c>
      <c r="C256" s="8" t="s">
        <v>74</v>
      </c>
      <c r="D256" s="2" t="s">
        <v>43</v>
      </c>
      <c r="E256" s="2" t="s">
        <v>20</v>
      </c>
      <c r="F256" s="2" t="s">
        <v>42</v>
      </c>
      <c r="G256" s="2" t="s">
        <v>12</v>
      </c>
      <c r="H256" s="2">
        <v>10</v>
      </c>
      <c r="I256" s="4">
        <v>17603</v>
      </c>
      <c r="J256" s="4">
        <v>13532</v>
      </c>
      <c r="K256" s="4">
        <f>Tablo1[[#This Row],[Quantity]]*Tablo1[[#This Row],[Unit_Price]]</f>
        <v>176030</v>
      </c>
      <c r="L256" s="4">
        <f>Tablo1[[#This Row],[Sales]]-(Tablo1[[#This Row],[Quantity]]*Tablo1[[#This Row],[Unit_Cost]])</f>
        <v>40710</v>
      </c>
    </row>
    <row r="257" spans="1:12" x14ac:dyDescent="0.3">
      <c r="A257" s="2">
        <v>1256</v>
      </c>
      <c r="B257" s="7">
        <v>45325</v>
      </c>
      <c r="C257" s="8" t="s">
        <v>76</v>
      </c>
      <c r="D257" s="2" t="s">
        <v>15</v>
      </c>
      <c r="E257" s="2" t="s">
        <v>26</v>
      </c>
      <c r="F257" s="2" t="s">
        <v>48</v>
      </c>
      <c r="G257" s="2" t="s">
        <v>34</v>
      </c>
      <c r="H257" s="2">
        <v>2</v>
      </c>
      <c r="I257" s="4">
        <v>1692</v>
      </c>
      <c r="J257" s="4">
        <v>1161</v>
      </c>
      <c r="K257" s="4">
        <f>Tablo1[[#This Row],[Quantity]]*Tablo1[[#This Row],[Unit_Price]]</f>
        <v>3384</v>
      </c>
      <c r="L257" s="4">
        <f>Tablo1[[#This Row],[Sales]]-(Tablo1[[#This Row],[Quantity]]*Tablo1[[#This Row],[Unit_Cost]])</f>
        <v>1062</v>
      </c>
    </row>
    <row r="258" spans="1:12" x14ac:dyDescent="0.3">
      <c r="A258" s="2">
        <v>1257</v>
      </c>
      <c r="B258" s="7">
        <v>45595</v>
      </c>
      <c r="C258" s="8" t="s">
        <v>75</v>
      </c>
      <c r="D258" s="2" t="s">
        <v>15</v>
      </c>
      <c r="E258" s="2" t="s">
        <v>38</v>
      </c>
      <c r="F258" s="2" t="s">
        <v>36</v>
      </c>
      <c r="G258" s="2" t="s">
        <v>34</v>
      </c>
      <c r="H258" s="2">
        <v>2</v>
      </c>
      <c r="I258" s="4">
        <v>1258</v>
      </c>
      <c r="J258" s="4">
        <v>933</v>
      </c>
      <c r="K258" s="4">
        <f>Tablo1[[#This Row],[Quantity]]*Tablo1[[#This Row],[Unit_Price]]</f>
        <v>2516</v>
      </c>
      <c r="L258" s="4">
        <f>Tablo1[[#This Row],[Sales]]-(Tablo1[[#This Row],[Quantity]]*Tablo1[[#This Row],[Unit_Cost]])</f>
        <v>650</v>
      </c>
    </row>
    <row r="259" spans="1:12" x14ac:dyDescent="0.3">
      <c r="A259" s="2">
        <v>1258</v>
      </c>
      <c r="B259" s="7">
        <v>45467</v>
      </c>
      <c r="C259" s="8" t="s">
        <v>73</v>
      </c>
      <c r="D259" s="2" t="s">
        <v>15</v>
      </c>
      <c r="E259" s="2" t="s">
        <v>26</v>
      </c>
      <c r="F259" s="2" t="s">
        <v>21</v>
      </c>
      <c r="G259" s="2" t="s">
        <v>17</v>
      </c>
      <c r="H259" s="2">
        <v>1</v>
      </c>
      <c r="I259" s="4">
        <v>11190</v>
      </c>
      <c r="J259" s="4">
        <v>5824</v>
      </c>
      <c r="K259" s="4">
        <f>Tablo1[[#This Row],[Quantity]]*Tablo1[[#This Row],[Unit_Price]]</f>
        <v>11190</v>
      </c>
      <c r="L259" s="4">
        <f>Tablo1[[#This Row],[Sales]]-(Tablo1[[#This Row],[Quantity]]*Tablo1[[#This Row],[Unit_Cost]])</f>
        <v>5366</v>
      </c>
    </row>
    <row r="260" spans="1:12" x14ac:dyDescent="0.3">
      <c r="A260" s="2">
        <v>1259</v>
      </c>
      <c r="B260" s="7">
        <v>45652</v>
      </c>
      <c r="C260" s="8" t="s">
        <v>76</v>
      </c>
      <c r="D260" s="2" t="s">
        <v>22</v>
      </c>
      <c r="E260" s="2" t="s">
        <v>20</v>
      </c>
      <c r="F260" s="2" t="s">
        <v>46</v>
      </c>
      <c r="G260" s="2" t="s">
        <v>17</v>
      </c>
      <c r="H260" s="2">
        <v>1</v>
      </c>
      <c r="I260" s="4">
        <v>8479</v>
      </c>
      <c r="J260" s="4">
        <v>5125</v>
      </c>
      <c r="K260" s="4">
        <f>Tablo1[[#This Row],[Quantity]]*Tablo1[[#This Row],[Unit_Price]]</f>
        <v>8479</v>
      </c>
      <c r="L260" s="4">
        <f>Tablo1[[#This Row],[Sales]]-(Tablo1[[#This Row],[Quantity]]*Tablo1[[#This Row],[Unit_Cost]])</f>
        <v>3354</v>
      </c>
    </row>
    <row r="261" spans="1:12" x14ac:dyDescent="0.3">
      <c r="A261" s="2">
        <v>1260</v>
      </c>
      <c r="B261" s="7">
        <v>45588</v>
      </c>
      <c r="C261" s="8" t="s">
        <v>74</v>
      </c>
      <c r="D261" s="2" t="s">
        <v>43</v>
      </c>
      <c r="E261" s="2" t="s">
        <v>23</v>
      </c>
      <c r="F261" s="2" t="s">
        <v>49</v>
      </c>
      <c r="G261" s="2" t="s">
        <v>12</v>
      </c>
      <c r="H261" s="2">
        <v>3</v>
      </c>
      <c r="I261" s="4">
        <v>8377</v>
      </c>
      <c r="J261" s="4">
        <v>5924</v>
      </c>
      <c r="K261" s="4">
        <f>Tablo1[[#This Row],[Quantity]]*Tablo1[[#This Row],[Unit_Price]]</f>
        <v>25131</v>
      </c>
      <c r="L261" s="4">
        <f>Tablo1[[#This Row],[Sales]]-(Tablo1[[#This Row],[Quantity]]*Tablo1[[#This Row],[Unit_Cost]])</f>
        <v>7359</v>
      </c>
    </row>
    <row r="262" spans="1:12" x14ac:dyDescent="0.3">
      <c r="A262" s="2">
        <v>1261</v>
      </c>
      <c r="B262" s="7">
        <v>45494</v>
      </c>
      <c r="C262" s="8" t="s">
        <v>77</v>
      </c>
      <c r="D262" s="2" t="s">
        <v>43</v>
      </c>
      <c r="E262" s="2" t="s">
        <v>26</v>
      </c>
      <c r="F262" s="2" t="s">
        <v>40</v>
      </c>
      <c r="G262" s="2" t="s">
        <v>25</v>
      </c>
      <c r="H262" s="2">
        <v>9</v>
      </c>
      <c r="I262" s="4">
        <v>7664</v>
      </c>
      <c r="J262" s="4">
        <v>4925</v>
      </c>
      <c r="K262" s="4">
        <f>Tablo1[[#This Row],[Quantity]]*Tablo1[[#This Row],[Unit_Price]]</f>
        <v>68976</v>
      </c>
      <c r="L262" s="4">
        <f>Tablo1[[#This Row],[Sales]]-(Tablo1[[#This Row],[Quantity]]*Tablo1[[#This Row],[Unit_Cost]])</f>
        <v>24651</v>
      </c>
    </row>
    <row r="263" spans="1:12" x14ac:dyDescent="0.3">
      <c r="A263" s="2">
        <v>1262</v>
      </c>
      <c r="B263" s="7">
        <v>45546</v>
      </c>
      <c r="C263" s="8" t="s">
        <v>75</v>
      </c>
      <c r="D263" s="2" t="s">
        <v>19</v>
      </c>
      <c r="E263" s="2" t="s">
        <v>30</v>
      </c>
      <c r="F263" s="2" t="s">
        <v>50</v>
      </c>
      <c r="G263" s="2" t="s">
        <v>28</v>
      </c>
      <c r="H263" s="2">
        <v>8</v>
      </c>
      <c r="I263" s="4">
        <v>3444</v>
      </c>
      <c r="J263" s="4">
        <v>2102</v>
      </c>
      <c r="K263" s="4">
        <f>Tablo1[[#This Row],[Quantity]]*Tablo1[[#This Row],[Unit_Price]]</f>
        <v>27552</v>
      </c>
      <c r="L263" s="4">
        <f>Tablo1[[#This Row],[Sales]]-(Tablo1[[#This Row],[Quantity]]*Tablo1[[#This Row],[Unit_Cost]])</f>
        <v>10736</v>
      </c>
    </row>
    <row r="264" spans="1:12" x14ac:dyDescent="0.3">
      <c r="A264" s="2">
        <v>1263</v>
      </c>
      <c r="B264" s="7">
        <v>45315</v>
      </c>
      <c r="C264" s="8" t="s">
        <v>76</v>
      </c>
      <c r="D264" s="2" t="s">
        <v>41</v>
      </c>
      <c r="E264" s="2" t="s">
        <v>26</v>
      </c>
      <c r="F264" s="2" t="s">
        <v>29</v>
      </c>
      <c r="G264" s="2" t="s">
        <v>25</v>
      </c>
      <c r="H264" s="2">
        <v>10</v>
      </c>
      <c r="I264" s="4">
        <v>6678</v>
      </c>
      <c r="J264" s="4">
        <v>4129</v>
      </c>
      <c r="K264" s="4">
        <f>Tablo1[[#This Row],[Quantity]]*Tablo1[[#This Row],[Unit_Price]]</f>
        <v>66780</v>
      </c>
      <c r="L264" s="4">
        <f>Tablo1[[#This Row],[Sales]]-(Tablo1[[#This Row],[Quantity]]*Tablo1[[#This Row],[Unit_Cost]])</f>
        <v>25490</v>
      </c>
    </row>
    <row r="265" spans="1:12" x14ac:dyDescent="0.3">
      <c r="A265" s="2">
        <v>1264</v>
      </c>
      <c r="B265" s="7">
        <v>45445</v>
      </c>
      <c r="C265" s="8" t="s">
        <v>75</v>
      </c>
      <c r="D265" s="2" t="s">
        <v>41</v>
      </c>
      <c r="E265" s="2" t="s">
        <v>26</v>
      </c>
      <c r="F265" s="2" t="s">
        <v>21</v>
      </c>
      <c r="G265" s="2" t="s">
        <v>17</v>
      </c>
      <c r="H265" s="2">
        <v>7</v>
      </c>
      <c r="I265" s="4">
        <v>11885</v>
      </c>
      <c r="J265" s="4">
        <v>9126</v>
      </c>
      <c r="K265" s="4">
        <f>Tablo1[[#This Row],[Quantity]]*Tablo1[[#This Row],[Unit_Price]]</f>
        <v>83195</v>
      </c>
      <c r="L265" s="4">
        <f>Tablo1[[#This Row],[Sales]]-(Tablo1[[#This Row],[Quantity]]*Tablo1[[#This Row],[Unit_Cost]])</f>
        <v>19313</v>
      </c>
    </row>
    <row r="266" spans="1:12" x14ac:dyDescent="0.3">
      <c r="A266" s="2">
        <v>1265</v>
      </c>
      <c r="B266" s="7">
        <v>45304</v>
      </c>
      <c r="C266" s="8" t="s">
        <v>74</v>
      </c>
      <c r="D266" s="2" t="s">
        <v>35</v>
      </c>
      <c r="E266" s="2" t="s">
        <v>38</v>
      </c>
      <c r="F266" s="2" t="s">
        <v>24</v>
      </c>
      <c r="G266" s="2" t="s">
        <v>25</v>
      </c>
      <c r="H266" s="2">
        <v>2</v>
      </c>
      <c r="I266" s="4">
        <v>7575</v>
      </c>
      <c r="J266" s="4">
        <v>5628</v>
      </c>
      <c r="K266" s="4">
        <f>Tablo1[[#This Row],[Quantity]]*Tablo1[[#This Row],[Unit_Price]]</f>
        <v>15150</v>
      </c>
      <c r="L266" s="4">
        <f>Tablo1[[#This Row],[Sales]]-(Tablo1[[#This Row],[Quantity]]*Tablo1[[#This Row],[Unit_Cost]])</f>
        <v>3894</v>
      </c>
    </row>
    <row r="267" spans="1:12" x14ac:dyDescent="0.3">
      <c r="A267" s="2">
        <v>1266</v>
      </c>
      <c r="B267" s="7">
        <v>45371</v>
      </c>
      <c r="C267" s="8" t="s">
        <v>73</v>
      </c>
      <c r="D267" s="2" t="s">
        <v>19</v>
      </c>
      <c r="E267" s="2" t="s">
        <v>38</v>
      </c>
      <c r="F267" s="2" t="s">
        <v>46</v>
      </c>
      <c r="G267" s="2" t="s">
        <v>17</v>
      </c>
      <c r="H267" s="2">
        <v>1</v>
      </c>
      <c r="I267" s="4">
        <v>7924</v>
      </c>
      <c r="J267" s="4">
        <v>4634</v>
      </c>
      <c r="K267" s="4">
        <f>Tablo1[[#This Row],[Quantity]]*Tablo1[[#This Row],[Unit_Price]]</f>
        <v>7924</v>
      </c>
      <c r="L267" s="4">
        <f>Tablo1[[#This Row],[Sales]]-(Tablo1[[#This Row],[Quantity]]*Tablo1[[#This Row],[Unit_Cost]])</f>
        <v>3290</v>
      </c>
    </row>
    <row r="268" spans="1:12" x14ac:dyDescent="0.3">
      <c r="A268" s="2">
        <v>1267</v>
      </c>
      <c r="B268" s="7">
        <v>45581</v>
      </c>
      <c r="C268" s="8" t="s">
        <v>73</v>
      </c>
      <c r="D268" s="2" t="s">
        <v>10</v>
      </c>
      <c r="E268" s="2" t="s">
        <v>26</v>
      </c>
      <c r="F268" s="2" t="s">
        <v>37</v>
      </c>
      <c r="G268" s="2" t="s">
        <v>28</v>
      </c>
      <c r="H268" s="2">
        <v>6</v>
      </c>
      <c r="I268" s="4">
        <v>1990</v>
      </c>
      <c r="J268" s="4">
        <v>1273</v>
      </c>
      <c r="K268" s="4">
        <f>Tablo1[[#This Row],[Quantity]]*Tablo1[[#This Row],[Unit_Price]]</f>
        <v>11940</v>
      </c>
      <c r="L268" s="4">
        <f>Tablo1[[#This Row],[Sales]]-(Tablo1[[#This Row],[Quantity]]*Tablo1[[#This Row],[Unit_Cost]])</f>
        <v>4302</v>
      </c>
    </row>
    <row r="269" spans="1:12" x14ac:dyDescent="0.3">
      <c r="A269" s="2">
        <v>1268</v>
      </c>
      <c r="B269" s="7">
        <v>45425</v>
      </c>
      <c r="C269" s="8" t="s">
        <v>75</v>
      </c>
      <c r="D269" s="2" t="s">
        <v>15</v>
      </c>
      <c r="E269" s="2" t="s">
        <v>26</v>
      </c>
      <c r="F269" s="2" t="s">
        <v>39</v>
      </c>
      <c r="G269" s="2" t="s">
        <v>28</v>
      </c>
      <c r="H269" s="2">
        <v>5</v>
      </c>
      <c r="I269" s="4">
        <v>2007</v>
      </c>
      <c r="J269" s="4">
        <v>1252</v>
      </c>
      <c r="K269" s="4">
        <f>Tablo1[[#This Row],[Quantity]]*Tablo1[[#This Row],[Unit_Price]]</f>
        <v>10035</v>
      </c>
      <c r="L269" s="4">
        <f>Tablo1[[#This Row],[Sales]]-(Tablo1[[#This Row],[Quantity]]*Tablo1[[#This Row],[Unit_Cost]])</f>
        <v>3775</v>
      </c>
    </row>
    <row r="270" spans="1:12" x14ac:dyDescent="0.3">
      <c r="A270" s="2">
        <v>1269</v>
      </c>
      <c r="B270" s="7">
        <v>45450</v>
      </c>
      <c r="C270" s="8" t="s">
        <v>74</v>
      </c>
      <c r="D270" s="2" t="s">
        <v>35</v>
      </c>
      <c r="E270" s="2" t="s">
        <v>26</v>
      </c>
      <c r="F270" s="2" t="s">
        <v>14</v>
      </c>
      <c r="G270" s="2" t="s">
        <v>12</v>
      </c>
      <c r="H270" s="2">
        <v>6</v>
      </c>
      <c r="I270" s="4">
        <v>14814</v>
      </c>
      <c r="J270" s="4">
        <v>10383</v>
      </c>
      <c r="K270" s="4">
        <f>Tablo1[[#This Row],[Quantity]]*Tablo1[[#This Row],[Unit_Price]]</f>
        <v>88884</v>
      </c>
      <c r="L270" s="4">
        <f>Tablo1[[#This Row],[Sales]]-(Tablo1[[#This Row],[Quantity]]*Tablo1[[#This Row],[Unit_Cost]])</f>
        <v>26586</v>
      </c>
    </row>
    <row r="271" spans="1:12" x14ac:dyDescent="0.3">
      <c r="A271" s="2">
        <v>1270</v>
      </c>
      <c r="B271" s="7">
        <v>45343</v>
      </c>
      <c r="C271" s="8" t="s">
        <v>76</v>
      </c>
      <c r="D271" s="2" t="s">
        <v>22</v>
      </c>
      <c r="E271" s="2" t="s">
        <v>38</v>
      </c>
      <c r="F271" s="2" t="s">
        <v>33</v>
      </c>
      <c r="G271" s="2" t="s">
        <v>34</v>
      </c>
      <c r="H271" s="2">
        <v>8</v>
      </c>
      <c r="I271" s="4">
        <v>4664</v>
      </c>
      <c r="J271" s="4">
        <v>2365</v>
      </c>
      <c r="K271" s="4">
        <f>Tablo1[[#This Row],[Quantity]]*Tablo1[[#This Row],[Unit_Price]]</f>
        <v>37312</v>
      </c>
      <c r="L271" s="4">
        <f>Tablo1[[#This Row],[Sales]]-(Tablo1[[#This Row],[Quantity]]*Tablo1[[#This Row],[Unit_Cost]])</f>
        <v>18392</v>
      </c>
    </row>
    <row r="272" spans="1:12" x14ac:dyDescent="0.3">
      <c r="A272" s="2">
        <v>1271</v>
      </c>
      <c r="B272" s="7">
        <v>45421</v>
      </c>
      <c r="C272" s="8" t="s">
        <v>75</v>
      </c>
      <c r="D272" s="2" t="s">
        <v>19</v>
      </c>
      <c r="E272" s="2" t="s">
        <v>38</v>
      </c>
      <c r="F272" s="2" t="s">
        <v>16</v>
      </c>
      <c r="G272" s="2" t="s">
        <v>17</v>
      </c>
      <c r="H272" s="2">
        <v>4</v>
      </c>
      <c r="I272" s="4">
        <v>11913</v>
      </c>
      <c r="J272" s="4">
        <v>7140</v>
      </c>
      <c r="K272" s="4">
        <f>Tablo1[[#This Row],[Quantity]]*Tablo1[[#This Row],[Unit_Price]]</f>
        <v>47652</v>
      </c>
      <c r="L272" s="4">
        <f>Tablo1[[#This Row],[Sales]]-(Tablo1[[#This Row],[Quantity]]*Tablo1[[#This Row],[Unit_Cost]])</f>
        <v>19092</v>
      </c>
    </row>
    <row r="273" spans="1:12" x14ac:dyDescent="0.3">
      <c r="A273" s="2">
        <v>1272</v>
      </c>
      <c r="B273" s="7">
        <v>45501</v>
      </c>
      <c r="C273" s="8" t="s">
        <v>73</v>
      </c>
      <c r="D273" s="2" t="s">
        <v>44</v>
      </c>
      <c r="E273" s="2" t="s">
        <v>38</v>
      </c>
      <c r="F273" s="2" t="s">
        <v>16</v>
      </c>
      <c r="G273" s="2" t="s">
        <v>17</v>
      </c>
      <c r="H273" s="2">
        <v>6</v>
      </c>
      <c r="I273" s="4">
        <v>6887</v>
      </c>
      <c r="J273" s="4">
        <v>4447</v>
      </c>
      <c r="K273" s="4">
        <f>Tablo1[[#This Row],[Quantity]]*Tablo1[[#This Row],[Unit_Price]]</f>
        <v>41322</v>
      </c>
      <c r="L273" s="4">
        <f>Tablo1[[#This Row],[Sales]]-(Tablo1[[#This Row],[Quantity]]*Tablo1[[#This Row],[Unit_Cost]])</f>
        <v>14640</v>
      </c>
    </row>
    <row r="274" spans="1:12" x14ac:dyDescent="0.3">
      <c r="A274" s="2">
        <v>1273</v>
      </c>
      <c r="B274" s="7">
        <v>45516</v>
      </c>
      <c r="C274" s="8" t="s">
        <v>76</v>
      </c>
      <c r="D274" s="2" t="s">
        <v>10</v>
      </c>
      <c r="E274" s="2" t="s">
        <v>26</v>
      </c>
      <c r="F274" s="2" t="s">
        <v>31</v>
      </c>
      <c r="G274" s="2" t="s">
        <v>17</v>
      </c>
      <c r="H274" s="2">
        <v>3</v>
      </c>
      <c r="I274" s="4">
        <v>6980</v>
      </c>
      <c r="J274" s="4">
        <v>5135</v>
      </c>
      <c r="K274" s="4">
        <f>Tablo1[[#This Row],[Quantity]]*Tablo1[[#This Row],[Unit_Price]]</f>
        <v>20940</v>
      </c>
      <c r="L274" s="4">
        <f>Tablo1[[#This Row],[Sales]]-(Tablo1[[#This Row],[Quantity]]*Tablo1[[#This Row],[Unit_Cost]])</f>
        <v>5535</v>
      </c>
    </row>
    <row r="275" spans="1:12" x14ac:dyDescent="0.3">
      <c r="A275" s="2">
        <v>1274</v>
      </c>
      <c r="B275" s="7">
        <v>45330</v>
      </c>
      <c r="C275" s="8" t="s">
        <v>74</v>
      </c>
      <c r="D275" s="2" t="s">
        <v>35</v>
      </c>
      <c r="E275" s="2" t="s">
        <v>20</v>
      </c>
      <c r="F275" s="2" t="s">
        <v>48</v>
      </c>
      <c r="G275" s="2" t="s">
        <v>34</v>
      </c>
      <c r="H275" s="2">
        <v>9</v>
      </c>
      <c r="I275" s="4">
        <v>2437</v>
      </c>
      <c r="J275" s="4">
        <v>1791</v>
      </c>
      <c r="K275" s="4">
        <f>Tablo1[[#This Row],[Quantity]]*Tablo1[[#This Row],[Unit_Price]]</f>
        <v>21933</v>
      </c>
      <c r="L275" s="4">
        <f>Tablo1[[#This Row],[Sales]]-(Tablo1[[#This Row],[Quantity]]*Tablo1[[#This Row],[Unit_Cost]])</f>
        <v>5814</v>
      </c>
    </row>
    <row r="276" spans="1:12" x14ac:dyDescent="0.3">
      <c r="A276" s="2">
        <v>1275</v>
      </c>
      <c r="B276" s="7">
        <v>45517</v>
      </c>
      <c r="C276" s="8" t="s">
        <v>77</v>
      </c>
      <c r="D276" s="2" t="s">
        <v>35</v>
      </c>
      <c r="E276" s="2" t="s">
        <v>30</v>
      </c>
      <c r="F276" s="2" t="s">
        <v>48</v>
      </c>
      <c r="G276" s="2" t="s">
        <v>34</v>
      </c>
      <c r="H276" s="2">
        <v>10</v>
      </c>
      <c r="I276" s="4">
        <v>501</v>
      </c>
      <c r="J276" s="4">
        <v>370</v>
      </c>
      <c r="K276" s="4">
        <f>Tablo1[[#This Row],[Quantity]]*Tablo1[[#This Row],[Unit_Price]]</f>
        <v>5010</v>
      </c>
      <c r="L276" s="4">
        <f>Tablo1[[#This Row],[Sales]]-(Tablo1[[#This Row],[Quantity]]*Tablo1[[#This Row],[Unit_Cost]])</f>
        <v>1310</v>
      </c>
    </row>
    <row r="277" spans="1:12" x14ac:dyDescent="0.3">
      <c r="A277" s="2">
        <v>1276</v>
      </c>
      <c r="B277" s="7">
        <v>45478</v>
      </c>
      <c r="C277" s="8" t="s">
        <v>75</v>
      </c>
      <c r="D277" s="2" t="s">
        <v>35</v>
      </c>
      <c r="E277" s="2" t="s">
        <v>20</v>
      </c>
      <c r="F277" s="2" t="s">
        <v>37</v>
      </c>
      <c r="G277" s="2" t="s">
        <v>28</v>
      </c>
      <c r="H277" s="2">
        <v>8</v>
      </c>
      <c r="I277" s="4">
        <v>965</v>
      </c>
      <c r="J277" s="4">
        <v>760</v>
      </c>
      <c r="K277" s="4">
        <f>Tablo1[[#This Row],[Quantity]]*Tablo1[[#This Row],[Unit_Price]]</f>
        <v>7720</v>
      </c>
      <c r="L277" s="4">
        <f>Tablo1[[#This Row],[Sales]]-(Tablo1[[#This Row],[Quantity]]*Tablo1[[#This Row],[Unit_Cost]])</f>
        <v>1640</v>
      </c>
    </row>
    <row r="278" spans="1:12" x14ac:dyDescent="0.3">
      <c r="A278" s="2">
        <v>1277</v>
      </c>
      <c r="B278" s="7">
        <v>45609</v>
      </c>
      <c r="C278" s="8" t="s">
        <v>76</v>
      </c>
      <c r="D278" s="2" t="s">
        <v>41</v>
      </c>
      <c r="E278" s="2" t="s">
        <v>30</v>
      </c>
      <c r="F278" s="2" t="s">
        <v>14</v>
      </c>
      <c r="G278" s="2" t="s">
        <v>12</v>
      </c>
      <c r="H278" s="2">
        <v>7</v>
      </c>
      <c r="I278" s="4">
        <v>16534</v>
      </c>
      <c r="J278" s="4">
        <v>10878</v>
      </c>
      <c r="K278" s="4">
        <f>Tablo1[[#This Row],[Quantity]]*Tablo1[[#This Row],[Unit_Price]]</f>
        <v>115738</v>
      </c>
      <c r="L278" s="4">
        <f>Tablo1[[#This Row],[Sales]]-(Tablo1[[#This Row],[Quantity]]*Tablo1[[#This Row],[Unit_Cost]])</f>
        <v>39592</v>
      </c>
    </row>
    <row r="279" spans="1:12" x14ac:dyDescent="0.3">
      <c r="A279" s="2">
        <v>1278</v>
      </c>
      <c r="B279" s="7">
        <v>45630</v>
      </c>
      <c r="C279" s="8" t="s">
        <v>75</v>
      </c>
      <c r="D279" s="2" t="s">
        <v>13</v>
      </c>
      <c r="E279" s="2" t="s">
        <v>30</v>
      </c>
      <c r="F279" s="2" t="s">
        <v>11</v>
      </c>
      <c r="G279" s="2" t="s">
        <v>12</v>
      </c>
      <c r="H279" s="2">
        <v>10</v>
      </c>
      <c r="I279" s="4">
        <v>17203</v>
      </c>
      <c r="J279" s="4">
        <v>12889</v>
      </c>
      <c r="K279" s="4">
        <f>Tablo1[[#This Row],[Quantity]]*Tablo1[[#This Row],[Unit_Price]]</f>
        <v>172030</v>
      </c>
      <c r="L279" s="4">
        <f>Tablo1[[#This Row],[Sales]]-(Tablo1[[#This Row],[Quantity]]*Tablo1[[#This Row],[Unit_Cost]])</f>
        <v>43140</v>
      </c>
    </row>
    <row r="280" spans="1:12" x14ac:dyDescent="0.3">
      <c r="A280" s="2">
        <v>1279</v>
      </c>
      <c r="B280" s="7">
        <v>45330</v>
      </c>
      <c r="C280" s="8" t="s">
        <v>74</v>
      </c>
      <c r="D280" s="2" t="s">
        <v>22</v>
      </c>
      <c r="E280" s="2" t="s">
        <v>30</v>
      </c>
      <c r="F280" s="2" t="s">
        <v>48</v>
      </c>
      <c r="G280" s="2" t="s">
        <v>34</v>
      </c>
      <c r="H280" s="2">
        <v>7</v>
      </c>
      <c r="I280" s="4">
        <v>2270</v>
      </c>
      <c r="J280" s="4">
        <v>1415</v>
      </c>
      <c r="K280" s="4">
        <f>Tablo1[[#This Row],[Quantity]]*Tablo1[[#This Row],[Unit_Price]]</f>
        <v>15890</v>
      </c>
      <c r="L280" s="4">
        <f>Tablo1[[#This Row],[Sales]]-(Tablo1[[#This Row],[Quantity]]*Tablo1[[#This Row],[Unit_Cost]])</f>
        <v>5985</v>
      </c>
    </row>
    <row r="281" spans="1:12" x14ac:dyDescent="0.3">
      <c r="A281" s="2">
        <v>1280</v>
      </c>
      <c r="B281" s="7">
        <v>45652</v>
      </c>
      <c r="C281" s="8" t="s">
        <v>73</v>
      </c>
      <c r="D281" s="2" t="s">
        <v>43</v>
      </c>
      <c r="E281" s="2" t="s">
        <v>23</v>
      </c>
      <c r="F281" s="2" t="s">
        <v>14</v>
      </c>
      <c r="G281" s="2" t="s">
        <v>12</v>
      </c>
      <c r="H281" s="2">
        <v>6</v>
      </c>
      <c r="I281" s="4">
        <v>22326</v>
      </c>
      <c r="J281" s="4">
        <v>13522</v>
      </c>
      <c r="K281" s="4">
        <f>Tablo1[[#This Row],[Quantity]]*Tablo1[[#This Row],[Unit_Price]]</f>
        <v>133956</v>
      </c>
      <c r="L281" s="4">
        <f>Tablo1[[#This Row],[Sales]]-(Tablo1[[#This Row],[Quantity]]*Tablo1[[#This Row],[Unit_Cost]])</f>
        <v>52824</v>
      </c>
    </row>
    <row r="282" spans="1:12" x14ac:dyDescent="0.3">
      <c r="A282" s="2">
        <v>1281</v>
      </c>
      <c r="B282" s="7">
        <v>45605</v>
      </c>
      <c r="C282" s="8" t="s">
        <v>73</v>
      </c>
      <c r="D282" s="2" t="s">
        <v>19</v>
      </c>
      <c r="E282" s="2" t="s">
        <v>38</v>
      </c>
      <c r="F282" s="2" t="s">
        <v>48</v>
      </c>
      <c r="G282" s="2" t="s">
        <v>34</v>
      </c>
      <c r="H282" s="2">
        <v>6</v>
      </c>
      <c r="I282" s="4">
        <v>5672</v>
      </c>
      <c r="J282" s="4">
        <v>3311</v>
      </c>
      <c r="K282" s="4">
        <f>Tablo1[[#This Row],[Quantity]]*Tablo1[[#This Row],[Unit_Price]]</f>
        <v>34032</v>
      </c>
      <c r="L282" s="4">
        <f>Tablo1[[#This Row],[Sales]]-(Tablo1[[#This Row],[Quantity]]*Tablo1[[#This Row],[Unit_Cost]])</f>
        <v>14166</v>
      </c>
    </row>
    <row r="283" spans="1:12" x14ac:dyDescent="0.3">
      <c r="A283" s="2">
        <v>1282</v>
      </c>
      <c r="B283" s="7">
        <v>45384</v>
      </c>
      <c r="C283" s="8" t="s">
        <v>75</v>
      </c>
      <c r="D283" s="2" t="s">
        <v>19</v>
      </c>
      <c r="E283" s="2" t="s">
        <v>26</v>
      </c>
      <c r="F283" s="2" t="s">
        <v>50</v>
      </c>
      <c r="G283" s="2" t="s">
        <v>28</v>
      </c>
      <c r="H283" s="2">
        <v>8</v>
      </c>
      <c r="I283" s="4">
        <v>3670</v>
      </c>
      <c r="J283" s="4">
        <v>2519</v>
      </c>
      <c r="K283" s="4">
        <f>Tablo1[[#This Row],[Quantity]]*Tablo1[[#This Row],[Unit_Price]]</f>
        <v>29360</v>
      </c>
      <c r="L283" s="4">
        <f>Tablo1[[#This Row],[Sales]]-(Tablo1[[#This Row],[Quantity]]*Tablo1[[#This Row],[Unit_Cost]])</f>
        <v>9208</v>
      </c>
    </row>
    <row r="284" spans="1:12" x14ac:dyDescent="0.3">
      <c r="A284" s="2">
        <v>1283</v>
      </c>
      <c r="B284" s="7">
        <v>45387</v>
      </c>
      <c r="C284" s="8" t="s">
        <v>74</v>
      </c>
      <c r="D284" s="2" t="s">
        <v>15</v>
      </c>
      <c r="E284" s="2" t="s">
        <v>26</v>
      </c>
      <c r="F284" s="2" t="s">
        <v>45</v>
      </c>
      <c r="G284" s="2" t="s">
        <v>34</v>
      </c>
      <c r="H284" s="2">
        <v>3</v>
      </c>
      <c r="I284" s="4">
        <v>5310</v>
      </c>
      <c r="J284" s="4">
        <v>2847</v>
      </c>
      <c r="K284" s="4">
        <f>Tablo1[[#This Row],[Quantity]]*Tablo1[[#This Row],[Unit_Price]]</f>
        <v>15930</v>
      </c>
      <c r="L284" s="4">
        <f>Tablo1[[#This Row],[Sales]]-(Tablo1[[#This Row],[Quantity]]*Tablo1[[#This Row],[Unit_Cost]])</f>
        <v>7389</v>
      </c>
    </row>
    <row r="285" spans="1:12" x14ac:dyDescent="0.3">
      <c r="A285" s="2">
        <v>1284</v>
      </c>
      <c r="B285" s="7">
        <v>45388</v>
      </c>
      <c r="C285" s="8" t="s">
        <v>76</v>
      </c>
      <c r="D285" s="2" t="s">
        <v>41</v>
      </c>
      <c r="E285" s="2" t="s">
        <v>23</v>
      </c>
      <c r="F285" s="2" t="s">
        <v>36</v>
      </c>
      <c r="G285" s="2" t="s">
        <v>34</v>
      </c>
      <c r="H285" s="2">
        <v>9</v>
      </c>
      <c r="I285" s="4">
        <v>6360</v>
      </c>
      <c r="J285" s="4">
        <v>4046</v>
      </c>
      <c r="K285" s="4">
        <f>Tablo1[[#This Row],[Quantity]]*Tablo1[[#This Row],[Unit_Price]]</f>
        <v>57240</v>
      </c>
      <c r="L285" s="4">
        <f>Tablo1[[#This Row],[Sales]]-(Tablo1[[#This Row],[Quantity]]*Tablo1[[#This Row],[Unit_Cost]])</f>
        <v>20826</v>
      </c>
    </row>
    <row r="286" spans="1:12" x14ac:dyDescent="0.3">
      <c r="A286" s="2">
        <v>1285</v>
      </c>
      <c r="B286" s="7">
        <v>45338</v>
      </c>
      <c r="C286" s="8" t="s">
        <v>75</v>
      </c>
      <c r="D286" s="2" t="s">
        <v>15</v>
      </c>
      <c r="E286" s="2" t="s">
        <v>38</v>
      </c>
      <c r="F286" s="2" t="s">
        <v>50</v>
      </c>
      <c r="G286" s="2" t="s">
        <v>28</v>
      </c>
      <c r="H286" s="2">
        <v>4</v>
      </c>
      <c r="I286" s="4">
        <v>1508</v>
      </c>
      <c r="J286" s="4">
        <v>823</v>
      </c>
      <c r="K286" s="4">
        <f>Tablo1[[#This Row],[Quantity]]*Tablo1[[#This Row],[Unit_Price]]</f>
        <v>6032</v>
      </c>
      <c r="L286" s="4">
        <f>Tablo1[[#This Row],[Sales]]-(Tablo1[[#This Row],[Quantity]]*Tablo1[[#This Row],[Unit_Cost]])</f>
        <v>2740</v>
      </c>
    </row>
    <row r="287" spans="1:12" x14ac:dyDescent="0.3">
      <c r="A287" s="2">
        <v>1286</v>
      </c>
      <c r="B287" s="7">
        <v>45332</v>
      </c>
      <c r="C287" s="8" t="s">
        <v>73</v>
      </c>
      <c r="D287" s="2" t="s">
        <v>43</v>
      </c>
      <c r="E287" s="2" t="s">
        <v>30</v>
      </c>
      <c r="F287" s="2" t="s">
        <v>40</v>
      </c>
      <c r="G287" s="2" t="s">
        <v>25</v>
      </c>
      <c r="H287" s="2">
        <v>1</v>
      </c>
      <c r="I287" s="4">
        <v>4533</v>
      </c>
      <c r="J287" s="4">
        <v>2757</v>
      </c>
      <c r="K287" s="4">
        <f>Tablo1[[#This Row],[Quantity]]*Tablo1[[#This Row],[Unit_Price]]</f>
        <v>4533</v>
      </c>
      <c r="L287" s="4">
        <f>Tablo1[[#This Row],[Sales]]-(Tablo1[[#This Row],[Quantity]]*Tablo1[[#This Row],[Unit_Cost]])</f>
        <v>1776</v>
      </c>
    </row>
    <row r="288" spans="1:12" x14ac:dyDescent="0.3">
      <c r="A288" s="2">
        <v>1287</v>
      </c>
      <c r="B288" s="7">
        <v>45295</v>
      </c>
      <c r="C288" s="8" t="s">
        <v>76</v>
      </c>
      <c r="D288" s="2" t="s">
        <v>32</v>
      </c>
      <c r="E288" s="2" t="s">
        <v>26</v>
      </c>
      <c r="F288" s="2" t="s">
        <v>46</v>
      </c>
      <c r="G288" s="2" t="s">
        <v>17</v>
      </c>
      <c r="H288" s="2">
        <v>8</v>
      </c>
      <c r="I288" s="4">
        <v>4833</v>
      </c>
      <c r="J288" s="4">
        <v>2574</v>
      </c>
      <c r="K288" s="4">
        <f>Tablo1[[#This Row],[Quantity]]*Tablo1[[#This Row],[Unit_Price]]</f>
        <v>38664</v>
      </c>
      <c r="L288" s="4">
        <f>Tablo1[[#This Row],[Sales]]-(Tablo1[[#This Row],[Quantity]]*Tablo1[[#This Row],[Unit_Cost]])</f>
        <v>18072</v>
      </c>
    </row>
    <row r="289" spans="1:12" x14ac:dyDescent="0.3">
      <c r="A289" s="2">
        <v>1288</v>
      </c>
      <c r="B289" s="7">
        <v>45490</v>
      </c>
      <c r="C289" s="8" t="s">
        <v>74</v>
      </c>
      <c r="D289" s="2" t="s">
        <v>43</v>
      </c>
      <c r="E289" s="2" t="s">
        <v>20</v>
      </c>
      <c r="F289" s="2" t="s">
        <v>16</v>
      </c>
      <c r="G289" s="2" t="s">
        <v>17</v>
      </c>
      <c r="H289" s="2">
        <v>6</v>
      </c>
      <c r="I289" s="4">
        <v>9485</v>
      </c>
      <c r="J289" s="4">
        <v>6957</v>
      </c>
      <c r="K289" s="4">
        <f>Tablo1[[#This Row],[Quantity]]*Tablo1[[#This Row],[Unit_Price]]</f>
        <v>56910</v>
      </c>
      <c r="L289" s="4">
        <f>Tablo1[[#This Row],[Sales]]-(Tablo1[[#This Row],[Quantity]]*Tablo1[[#This Row],[Unit_Cost]])</f>
        <v>15168</v>
      </c>
    </row>
    <row r="290" spans="1:12" x14ac:dyDescent="0.3">
      <c r="A290" s="2">
        <v>1289</v>
      </c>
      <c r="B290" s="7">
        <v>45341</v>
      </c>
      <c r="C290" s="8" t="s">
        <v>77</v>
      </c>
      <c r="D290" s="2" t="s">
        <v>15</v>
      </c>
      <c r="E290" s="2" t="s">
        <v>23</v>
      </c>
      <c r="F290" s="2" t="s">
        <v>37</v>
      </c>
      <c r="G290" s="2" t="s">
        <v>28</v>
      </c>
      <c r="H290" s="2">
        <v>1</v>
      </c>
      <c r="I290" s="4">
        <v>1813</v>
      </c>
      <c r="J290" s="4">
        <v>1281</v>
      </c>
      <c r="K290" s="4">
        <f>Tablo1[[#This Row],[Quantity]]*Tablo1[[#This Row],[Unit_Price]]</f>
        <v>1813</v>
      </c>
      <c r="L290" s="4">
        <f>Tablo1[[#This Row],[Sales]]-(Tablo1[[#This Row],[Quantity]]*Tablo1[[#This Row],[Unit_Cost]])</f>
        <v>532</v>
      </c>
    </row>
    <row r="291" spans="1:12" x14ac:dyDescent="0.3">
      <c r="A291" s="2">
        <v>1290</v>
      </c>
      <c r="B291" s="7">
        <v>45591</v>
      </c>
      <c r="C291" s="8" t="s">
        <v>75</v>
      </c>
      <c r="D291" s="2" t="s">
        <v>32</v>
      </c>
      <c r="E291" s="2" t="s">
        <v>38</v>
      </c>
      <c r="F291" s="2" t="s">
        <v>14</v>
      </c>
      <c r="G291" s="2" t="s">
        <v>12</v>
      </c>
      <c r="H291" s="2">
        <v>8</v>
      </c>
      <c r="I291" s="4">
        <v>24448</v>
      </c>
      <c r="J291" s="4">
        <v>16575</v>
      </c>
      <c r="K291" s="4">
        <f>Tablo1[[#This Row],[Quantity]]*Tablo1[[#This Row],[Unit_Price]]</f>
        <v>195584</v>
      </c>
      <c r="L291" s="4">
        <f>Tablo1[[#This Row],[Sales]]-(Tablo1[[#This Row],[Quantity]]*Tablo1[[#This Row],[Unit_Cost]])</f>
        <v>62984</v>
      </c>
    </row>
    <row r="292" spans="1:12" x14ac:dyDescent="0.3">
      <c r="A292" s="2">
        <v>1291</v>
      </c>
      <c r="B292" s="7">
        <v>45456</v>
      </c>
      <c r="C292" s="8" t="s">
        <v>76</v>
      </c>
      <c r="D292" s="2" t="s">
        <v>43</v>
      </c>
      <c r="E292" s="2" t="s">
        <v>26</v>
      </c>
      <c r="F292" s="2" t="s">
        <v>33</v>
      </c>
      <c r="G292" s="2" t="s">
        <v>34</v>
      </c>
      <c r="H292" s="2">
        <v>10</v>
      </c>
      <c r="I292" s="4">
        <v>6565</v>
      </c>
      <c r="J292" s="4">
        <v>3413</v>
      </c>
      <c r="K292" s="4">
        <f>Tablo1[[#This Row],[Quantity]]*Tablo1[[#This Row],[Unit_Price]]</f>
        <v>65650</v>
      </c>
      <c r="L292" s="4">
        <f>Tablo1[[#This Row],[Sales]]-(Tablo1[[#This Row],[Quantity]]*Tablo1[[#This Row],[Unit_Cost]])</f>
        <v>31520</v>
      </c>
    </row>
    <row r="293" spans="1:12" x14ac:dyDescent="0.3">
      <c r="A293" s="2">
        <v>1292</v>
      </c>
      <c r="B293" s="7">
        <v>45509</v>
      </c>
      <c r="C293" s="8" t="s">
        <v>75</v>
      </c>
      <c r="D293" s="2" t="s">
        <v>13</v>
      </c>
      <c r="E293" s="2" t="s">
        <v>30</v>
      </c>
      <c r="F293" s="2" t="s">
        <v>36</v>
      </c>
      <c r="G293" s="2" t="s">
        <v>34</v>
      </c>
      <c r="H293" s="2">
        <v>8</v>
      </c>
      <c r="I293" s="4">
        <v>1770</v>
      </c>
      <c r="J293" s="4">
        <v>916</v>
      </c>
      <c r="K293" s="4">
        <f>Tablo1[[#This Row],[Quantity]]*Tablo1[[#This Row],[Unit_Price]]</f>
        <v>14160</v>
      </c>
      <c r="L293" s="4">
        <f>Tablo1[[#This Row],[Sales]]-(Tablo1[[#This Row],[Quantity]]*Tablo1[[#This Row],[Unit_Cost]])</f>
        <v>6832</v>
      </c>
    </row>
    <row r="294" spans="1:12" x14ac:dyDescent="0.3">
      <c r="A294" s="2">
        <v>1293</v>
      </c>
      <c r="B294" s="7">
        <v>45602</v>
      </c>
      <c r="C294" s="8" t="s">
        <v>74</v>
      </c>
      <c r="D294" s="2" t="s">
        <v>22</v>
      </c>
      <c r="E294" s="2" t="s">
        <v>26</v>
      </c>
      <c r="F294" s="2" t="s">
        <v>33</v>
      </c>
      <c r="G294" s="2" t="s">
        <v>34</v>
      </c>
      <c r="H294" s="2">
        <v>5</v>
      </c>
      <c r="I294" s="4">
        <v>6316</v>
      </c>
      <c r="J294" s="4">
        <v>4926</v>
      </c>
      <c r="K294" s="4">
        <f>Tablo1[[#This Row],[Quantity]]*Tablo1[[#This Row],[Unit_Price]]</f>
        <v>31580</v>
      </c>
      <c r="L294" s="4">
        <f>Tablo1[[#This Row],[Sales]]-(Tablo1[[#This Row],[Quantity]]*Tablo1[[#This Row],[Unit_Cost]])</f>
        <v>6950</v>
      </c>
    </row>
    <row r="295" spans="1:12" x14ac:dyDescent="0.3">
      <c r="A295" s="2">
        <v>1294</v>
      </c>
      <c r="B295" s="7">
        <v>45511</v>
      </c>
      <c r="C295" s="8" t="s">
        <v>73</v>
      </c>
      <c r="D295" s="2" t="s">
        <v>15</v>
      </c>
      <c r="E295" s="2" t="s">
        <v>38</v>
      </c>
      <c r="F295" s="2" t="s">
        <v>42</v>
      </c>
      <c r="G295" s="2" t="s">
        <v>12</v>
      </c>
      <c r="H295" s="2">
        <v>7</v>
      </c>
      <c r="I295" s="4">
        <v>14411</v>
      </c>
      <c r="J295" s="4">
        <v>10839</v>
      </c>
      <c r="K295" s="4">
        <f>Tablo1[[#This Row],[Quantity]]*Tablo1[[#This Row],[Unit_Price]]</f>
        <v>100877</v>
      </c>
      <c r="L295" s="4">
        <f>Tablo1[[#This Row],[Sales]]-(Tablo1[[#This Row],[Quantity]]*Tablo1[[#This Row],[Unit_Cost]])</f>
        <v>25004</v>
      </c>
    </row>
    <row r="296" spans="1:12" x14ac:dyDescent="0.3">
      <c r="A296" s="2">
        <v>1295</v>
      </c>
      <c r="B296" s="7">
        <v>45450</v>
      </c>
      <c r="C296" s="8" t="s">
        <v>73</v>
      </c>
      <c r="D296" s="2" t="s">
        <v>22</v>
      </c>
      <c r="E296" s="2" t="s">
        <v>20</v>
      </c>
      <c r="F296" s="2" t="s">
        <v>29</v>
      </c>
      <c r="G296" s="2" t="s">
        <v>25</v>
      </c>
      <c r="H296" s="2">
        <v>2</v>
      </c>
      <c r="I296" s="4">
        <v>6986</v>
      </c>
      <c r="J296" s="4">
        <v>4160</v>
      </c>
      <c r="K296" s="4">
        <f>Tablo1[[#This Row],[Quantity]]*Tablo1[[#This Row],[Unit_Price]]</f>
        <v>13972</v>
      </c>
      <c r="L296" s="4">
        <f>Tablo1[[#This Row],[Sales]]-(Tablo1[[#This Row],[Quantity]]*Tablo1[[#This Row],[Unit_Cost]])</f>
        <v>5652</v>
      </c>
    </row>
    <row r="297" spans="1:12" x14ac:dyDescent="0.3">
      <c r="A297" s="2">
        <v>1296</v>
      </c>
      <c r="B297" s="7">
        <v>45309</v>
      </c>
      <c r="C297" s="8" t="s">
        <v>75</v>
      </c>
      <c r="D297" s="2" t="s">
        <v>15</v>
      </c>
      <c r="E297" s="2" t="s">
        <v>30</v>
      </c>
      <c r="F297" s="2" t="s">
        <v>47</v>
      </c>
      <c r="G297" s="2" t="s">
        <v>25</v>
      </c>
      <c r="H297" s="2">
        <v>1</v>
      </c>
      <c r="I297" s="4">
        <v>7082</v>
      </c>
      <c r="J297" s="4">
        <v>3796</v>
      </c>
      <c r="K297" s="4">
        <f>Tablo1[[#This Row],[Quantity]]*Tablo1[[#This Row],[Unit_Price]]</f>
        <v>7082</v>
      </c>
      <c r="L297" s="4">
        <f>Tablo1[[#This Row],[Sales]]-(Tablo1[[#This Row],[Quantity]]*Tablo1[[#This Row],[Unit_Cost]])</f>
        <v>3286</v>
      </c>
    </row>
    <row r="298" spans="1:12" x14ac:dyDescent="0.3">
      <c r="A298" s="2">
        <v>1297</v>
      </c>
      <c r="B298" s="7">
        <v>45492</v>
      </c>
      <c r="C298" s="8" t="s">
        <v>74</v>
      </c>
      <c r="D298" s="2" t="s">
        <v>15</v>
      </c>
      <c r="E298" s="2" t="s">
        <v>20</v>
      </c>
      <c r="F298" s="2" t="s">
        <v>45</v>
      </c>
      <c r="G298" s="2" t="s">
        <v>34</v>
      </c>
      <c r="H298" s="2">
        <v>5</v>
      </c>
      <c r="I298" s="4">
        <v>4105</v>
      </c>
      <c r="J298" s="4">
        <v>2688</v>
      </c>
      <c r="K298" s="4">
        <f>Tablo1[[#This Row],[Quantity]]*Tablo1[[#This Row],[Unit_Price]]</f>
        <v>20525</v>
      </c>
      <c r="L298" s="4">
        <f>Tablo1[[#This Row],[Sales]]-(Tablo1[[#This Row],[Quantity]]*Tablo1[[#This Row],[Unit_Cost]])</f>
        <v>7085</v>
      </c>
    </row>
    <row r="299" spans="1:12" x14ac:dyDescent="0.3">
      <c r="A299" s="2">
        <v>1298</v>
      </c>
      <c r="B299" s="7">
        <v>45309</v>
      </c>
      <c r="C299" s="8" t="s">
        <v>76</v>
      </c>
      <c r="D299" s="2" t="s">
        <v>32</v>
      </c>
      <c r="E299" s="2" t="s">
        <v>38</v>
      </c>
      <c r="F299" s="2" t="s">
        <v>31</v>
      </c>
      <c r="G299" s="2" t="s">
        <v>17</v>
      </c>
      <c r="H299" s="2">
        <v>6</v>
      </c>
      <c r="I299" s="4">
        <v>9497</v>
      </c>
      <c r="J299" s="4">
        <v>6584</v>
      </c>
      <c r="K299" s="4">
        <f>Tablo1[[#This Row],[Quantity]]*Tablo1[[#This Row],[Unit_Price]]</f>
        <v>56982</v>
      </c>
      <c r="L299" s="4">
        <f>Tablo1[[#This Row],[Sales]]-(Tablo1[[#This Row],[Quantity]]*Tablo1[[#This Row],[Unit_Cost]])</f>
        <v>17478</v>
      </c>
    </row>
    <row r="300" spans="1:12" x14ac:dyDescent="0.3">
      <c r="A300" s="2">
        <v>1299</v>
      </c>
      <c r="B300" s="7">
        <v>45433</v>
      </c>
      <c r="C300" s="8" t="s">
        <v>75</v>
      </c>
      <c r="D300" s="2" t="s">
        <v>32</v>
      </c>
      <c r="E300" s="2" t="s">
        <v>26</v>
      </c>
      <c r="F300" s="2" t="s">
        <v>42</v>
      </c>
      <c r="G300" s="2" t="s">
        <v>12</v>
      </c>
      <c r="H300" s="2">
        <v>9</v>
      </c>
      <c r="I300" s="4">
        <v>20067</v>
      </c>
      <c r="J300" s="4">
        <v>10472</v>
      </c>
      <c r="K300" s="4">
        <f>Tablo1[[#This Row],[Quantity]]*Tablo1[[#This Row],[Unit_Price]]</f>
        <v>180603</v>
      </c>
      <c r="L300" s="4">
        <f>Tablo1[[#This Row],[Sales]]-(Tablo1[[#This Row],[Quantity]]*Tablo1[[#This Row],[Unit_Cost]])</f>
        <v>86355</v>
      </c>
    </row>
    <row r="301" spans="1:12" x14ac:dyDescent="0.3">
      <c r="A301" s="2">
        <v>1300</v>
      </c>
      <c r="B301" s="7">
        <v>45310</v>
      </c>
      <c r="C301" s="8" t="s">
        <v>73</v>
      </c>
      <c r="D301" s="2" t="s">
        <v>10</v>
      </c>
      <c r="E301" s="2" t="s">
        <v>20</v>
      </c>
      <c r="F301" s="2" t="s">
        <v>42</v>
      </c>
      <c r="G301" s="2" t="s">
        <v>12</v>
      </c>
      <c r="H301" s="2">
        <v>10</v>
      </c>
      <c r="I301" s="4">
        <v>11718</v>
      </c>
      <c r="J301" s="4">
        <v>5860</v>
      </c>
      <c r="K301" s="4">
        <f>Tablo1[[#This Row],[Quantity]]*Tablo1[[#This Row],[Unit_Price]]</f>
        <v>117180</v>
      </c>
      <c r="L301" s="4">
        <f>Tablo1[[#This Row],[Sales]]-(Tablo1[[#This Row],[Quantity]]*Tablo1[[#This Row],[Unit_Cost]])</f>
        <v>58580</v>
      </c>
    </row>
    <row r="302" spans="1:12" x14ac:dyDescent="0.3">
      <c r="A302" s="2">
        <v>1301</v>
      </c>
      <c r="B302" s="7">
        <v>45383</v>
      </c>
      <c r="C302" s="8" t="s">
        <v>76</v>
      </c>
      <c r="D302" s="2" t="s">
        <v>22</v>
      </c>
      <c r="E302" s="2" t="s">
        <v>26</v>
      </c>
      <c r="F302" s="2" t="s">
        <v>16</v>
      </c>
      <c r="G302" s="2" t="s">
        <v>17</v>
      </c>
      <c r="H302" s="2">
        <v>7</v>
      </c>
      <c r="I302" s="4">
        <v>5533</v>
      </c>
      <c r="J302" s="4">
        <v>2786</v>
      </c>
      <c r="K302" s="4">
        <f>Tablo1[[#This Row],[Quantity]]*Tablo1[[#This Row],[Unit_Price]]</f>
        <v>38731</v>
      </c>
      <c r="L302" s="4">
        <f>Tablo1[[#This Row],[Sales]]-(Tablo1[[#This Row],[Quantity]]*Tablo1[[#This Row],[Unit_Cost]])</f>
        <v>19229</v>
      </c>
    </row>
    <row r="303" spans="1:12" x14ac:dyDescent="0.3">
      <c r="A303" s="2">
        <v>1302</v>
      </c>
      <c r="B303" s="7">
        <v>45366</v>
      </c>
      <c r="C303" s="8" t="s">
        <v>74</v>
      </c>
      <c r="D303" s="2" t="s">
        <v>15</v>
      </c>
      <c r="E303" s="2" t="s">
        <v>30</v>
      </c>
      <c r="F303" s="2" t="s">
        <v>14</v>
      </c>
      <c r="G303" s="2" t="s">
        <v>12</v>
      </c>
      <c r="H303" s="2">
        <v>1</v>
      </c>
      <c r="I303" s="4">
        <v>23665</v>
      </c>
      <c r="J303" s="4">
        <v>17039</v>
      </c>
      <c r="K303" s="4">
        <f>Tablo1[[#This Row],[Quantity]]*Tablo1[[#This Row],[Unit_Price]]</f>
        <v>23665</v>
      </c>
      <c r="L303" s="4">
        <f>Tablo1[[#This Row],[Sales]]-(Tablo1[[#This Row],[Quantity]]*Tablo1[[#This Row],[Unit_Cost]])</f>
        <v>6626</v>
      </c>
    </row>
    <row r="304" spans="1:12" x14ac:dyDescent="0.3">
      <c r="A304" s="2">
        <v>1303</v>
      </c>
      <c r="B304" s="7">
        <v>45350</v>
      </c>
      <c r="C304" s="8" t="s">
        <v>77</v>
      </c>
      <c r="D304" s="2" t="s">
        <v>43</v>
      </c>
      <c r="E304" s="2" t="s">
        <v>30</v>
      </c>
      <c r="F304" s="2" t="s">
        <v>16</v>
      </c>
      <c r="G304" s="2" t="s">
        <v>17</v>
      </c>
      <c r="H304" s="2">
        <v>1</v>
      </c>
      <c r="I304" s="4">
        <v>8837</v>
      </c>
      <c r="J304" s="4">
        <v>4429</v>
      </c>
      <c r="K304" s="4">
        <f>Tablo1[[#This Row],[Quantity]]*Tablo1[[#This Row],[Unit_Price]]</f>
        <v>8837</v>
      </c>
      <c r="L304" s="4">
        <f>Tablo1[[#This Row],[Sales]]-(Tablo1[[#This Row],[Quantity]]*Tablo1[[#This Row],[Unit_Cost]])</f>
        <v>4408</v>
      </c>
    </row>
    <row r="305" spans="1:12" x14ac:dyDescent="0.3">
      <c r="A305" s="2">
        <v>1304</v>
      </c>
      <c r="B305" s="7">
        <v>45504</v>
      </c>
      <c r="C305" s="8" t="s">
        <v>75</v>
      </c>
      <c r="D305" s="2" t="s">
        <v>41</v>
      </c>
      <c r="E305" s="2" t="s">
        <v>26</v>
      </c>
      <c r="F305" s="2" t="s">
        <v>37</v>
      </c>
      <c r="G305" s="2" t="s">
        <v>28</v>
      </c>
      <c r="H305" s="2">
        <v>8</v>
      </c>
      <c r="I305" s="4">
        <v>2633</v>
      </c>
      <c r="J305" s="4">
        <v>1995</v>
      </c>
      <c r="K305" s="4">
        <f>Tablo1[[#This Row],[Quantity]]*Tablo1[[#This Row],[Unit_Price]]</f>
        <v>21064</v>
      </c>
      <c r="L305" s="4">
        <f>Tablo1[[#This Row],[Sales]]-(Tablo1[[#This Row],[Quantity]]*Tablo1[[#This Row],[Unit_Cost]])</f>
        <v>5104</v>
      </c>
    </row>
    <row r="306" spans="1:12" x14ac:dyDescent="0.3">
      <c r="A306" s="2">
        <v>1305</v>
      </c>
      <c r="B306" s="7">
        <v>45300</v>
      </c>
      <c r="C306" s="8" t="s">
        <v>76</v>
      </c>
      <c r="D306" s="2" t="s">
        <v>10</v>
      </c>
      <c r="E306" s="2" t="s">
        <v>38</v>
      </c>
      <c r="F306" s="2" t="s">
        <v>27</v>
      </c>
      <c r="G306" s="2" t="s">
        <v>28</v>
      </c>
      <c r="H306" s="2">
        <v>1</v>
      </c>
      <c r="I306" s="4">
        <v>610</v>
      </c>
      <c r="J306" s="4">
        <v>467</v>
      </c>
      <c r="K306" s="4">
        <f>Tablo1[[#This Row],[Quantity]]*Tablo1[[#This Row],[Unit_Price]]</f>
        <v>610</v>
      </c>
      <c r="L306" s="4">
        <f>Tablo1[[#This Row],[Sales]]-(Tablo1[[#This Row],[Quantity]]*Tablo1[[#This Row],[Unit_Cost]])</f>
        <v>143</v>
      </c>
    </row>
    <row r="307" spans="1:12" x14ac:dyDescent="0.3">
      <c r="A307" s="2">
        <v>1306</v>
      </c>
      <c r="B307" s="7">
        <v>45539</v>
      </c>
      <c r="C307" s="8" t="s">
        <v>75</v>
      </c>
      <c r="D307" s="2" t="s">
        <v>19</v>
      </c>
      <c r="E307" s="2" t="s">
        <v>23</v>
      </c>
      <c r="F307" s="2" t="s">
        <v>37</v>
      </c>
      <c r="G307" s="2" t="s">
        <v>28</v>
      </c>
      <c r="H307" s="2">
        <v>8</v>
      </c>
      <c r="I307" s="4">
        <v>1140</v>
      </c>
      <c r="J307" s="4">
        <v>825</v>
      </c>
      <c r="K307" s="4">
        <f>Tablo1[[#This Row],[Quantity]]*Tablo1[[#This Row],[Unit_Price]]</f>
        <v>9120</v>
      </c>
      <c r="L307" s="4">
        <f>Tablo1[[#This Row],[Sales]]-(Tablo1[[#This Row],[Quantity]]*Tablo1[[#This Row],[Unit_Cost]])</f>
        <v>2520</v>
      </c>
    </row>
    <row r="308" spans="1:12" x14ac:dyDescent="0.3">
      <c r="A308" s="2">
        <v>1307</v>
      </c>
      <c r="B308" s="7">
        <v>45624</v>
      </c>
      <c r="C308" s="8" t="s">
        <v>74</v>
      </c>
      <c r="D308" s="2" t="s">
        <v>41</v>
      </c>
      <c r="E308" s="2" t="s">
        <v>30</v>
      </c>
      <c r="F308" s="2" t="s">
        <v>42</v>
      </c>
      <c r="G308" s="2" t="s">
        <v>12</v>
      </c>
      <c r="H308" s="2">
        <v>6</v>
      </c>
      <c r="I308" s="4">
        <v>24725</v>
      </c>
      <c r="J308" s="4">
        <v>14091</v>
      </c>
      <c r="K308" s="4">
        <f>Tablo1[[#This Row],[Quantity]]*Tablo1[[#This Row],[Unit_Price]]</f>
        <v>148350</v>
      </c>
      <c r="L308" s="4">
        <f>Tablo1[[#This Row],[Sales]]-(Tablo1[[#This Row],[Quantity]]*Tablo1[[#This Row],[Unit_Cost]])</f>
        <v>63804</v>
      </c>
    </row>
    <row r="309" spans="1:12" x14ac:dyDescent="0.3">
      <c r="A309" s="2">
        <v>1308</v>
      </c>
      <c r="B309" s="7">
        <v>45524</v>
      </c>
      <c r="C309" s="8" t="s">
        <v>73</v>
      </c>
      <c r="D309" s="2" t="s">
        <v>41</v>
      </c>
      <c r="E309" s="2" t="s">
        <v>26</v>
      </c>
      <c r="F309" s="2" t="s">
        <v>33</v>
      </c>
      <c r="G309" s="2" t="s">
        <v>34</v>
      </c>
      <c r="H309" s="2">
        <v>7</v>
      </c>
      <c r="I309" s="4">
        <v>2819</v>
      </c>
      <c r="J309" s="4">
        <v>2075</v>
      </c>
      <c r="K309" s="4">
        <f>Tablo1[[#This Row],[Quantity]]*Tablo1[[#This Row],[Unit_Price]]</f>
        <v>19733</v>
      </c>
      <c r="L309" s="4">
        <f>Tablo1[[#This Row],[Sales]]-(Tablo1[[#This Row],[Quantity]]*Tablo1[[#This Row],[Unit_Cost]])</f>
        <v>5208</v>
      </c>
    </row>
    <row r="310" spans="1:12" x14ac:dyDescent="0.3">
      <c r="A310" s="2">
        <v>1309</v>
      </c>
      <c r="B310" s="7">
        <v>45550</v>
      </c>
      <c r="C310" s="8" t="s">
        <v>73</v>
      </c>
      <c r="D310" s="2" t="s">
        <v>35</v>
      </c>
      <c r="E310" s="2" t="s">
        <v>23</v>
      </c>
      <c r="F310" s="2" t="s">
        <v>31</v>
      </c>
      <c r="G310" s="2" t="s">
        <v>17</v>
      </c>
      <c r="H310" s="2">
        <v>5</v>
      </c>
      <c r="I310" s="4">
        <v>7069</v>
      </c>
      <c r="J310" s="4">
        <v>4901</v>
      </c>
      <c r="K310" s="4">
        <f>Tablo1[[#This Row],[Quantity]]*Tablo1[[#This Row],[Unit_Price]]</f>
        <v>35345</v>
      </c>
      <c r="L310" s="4">
        <f>Tablo1[[#This Row],[Sales]]-(Tablo1[[#This Row],[Quantity]]*Tablo1[[#This Row],[Unit_Cost]])</f>
        <v>10840</v>
      </c>
    </row>
    <row r="311" spans="1:12" x14ac:dyDescent="0.3">
      <c r="A311" s="2">
        <v>1310</v>
      </c>
      <c r="B311" s="7">
        <v>45522</v>
      </c>
      <c r="C311" s="8" t="s">
        <v>75</v>
      </c>
      <c r="D311" s="2" t="s">
        <v>15</v>
      </c>
      <c r="E311" s="2" t="s">
        <v>30</v>
      </c>
      <c r="F311" s="2" t="s">
        <v>14</v>
      </c>
      <c r="G311" s="2" t="s">
        <v>12</v>
      </c>
      <c r="H311" s="2">
        <v>2</v>
      </c>
      <c r="I311" s="4">
        <v>19576</v>
      </c>
      <c r="J311" s="4">
        <v>10391</v>
      </c>
      <c r="K311" s="4">
        <f>Tablo1[[#This Row],[Quantity]]*Tablo1[[#This Row],[Unit_Price]]</f>
        <v>39152</v>
      </c>
      <c r="L311" s="4">
        <f>Tablo1[[#This Row],[Sales]]-(Tablo1[[#This Row],[Quantity]]*Tablo1[[#This Row],[Unit_Cost]])</f>
        <v>18370</v>
      </c>
    </row>
    <row r="312" spans="1:12" x14ac:dyDescent="0.3">
      <c r="A312" s="2">
        <v>1311</v>
      </c>
      <c r="B312" s="7">
        <v>45389</v>
      </c>
      <c r="C312" s="8" t="s">
        <v>74</v>
      </c>
      <c r="D312" s="2" t="s">
        <v>41</v>
      </c>
      <c r="E312" s="2" t="s">
        <v>38</v>
      </c>
      <c r="F312" s="2" t="s">
        <v>27</v>
      </c>
      <c r="G312" s="2" t="s">
        <v>28</v>
      </c>
      <c r="H312" s="2">
        <v>3</v>
      </c>
      <c r="I312" s="4">
        <v>1059</v>
      </c>
      <c r="J312" s="4">
        <v>631</v>
      </c>
      <c r="K312" s="4">
        <f>Tablo1[[#This Row],[Quantity]]*Tablo1[[#This Row],[Unit_Price]]</f>
        <v>3177</v>
      </c>
      <c r="L312" s="4">
        <f>Tablo1[[#This Row],[Sales]]-(Tablo1[[#This Row],[Quantity]]*Tablo1[[#This Row],[Unit_Cost]])</f>
        <v>1284</v>
      </c>
    </row>
    <row r="313" spans="1:12" x14ac:dyDescent="0.3">
      <c r="A313" s="2">
        <v>1312</v>
      </c>
      <c r="B313" s="7">
        <v>45601</v>
      </c>
      <c r="C313" s="8" t="s">
        <v>76</v>
      </c>
      <c r="D313" s="2" t="s">
        <v>41</v>
      </c>
      <c r="E313" s="2" t="s">
        <v>38</v>
      </c>
      <c r="F313" s="2" t="s">
        <v>42</v>
      </c>
      <c r="G313" s="2" t="s">
        <v>12</v>
      </c>
      <c r="H313" s="2">
        <v>10</v>
      </c>
      <c r="I313" s="4">
        <v>23644</v>
      </c>
      <c r="J313" s="4">
        <v>18668</v>
      </c>
      <c r="K313" s="4">
        <f>Tablo1[[#This Row],[Quantity]]*Tablo1[[#This Row],[Unit_Price]]</f>
        <v>236440</v>
      </c>
      <c r="L313" s="4">
        <f>Tablo1[[#This Row],[Sales]]-(Tablo1[[#This Row],[Quantity]]*Tablo1[[#This Row],[Unit_Cost]])</f>
        <v>49760</v>
      </c>
    </row>
    <row r="314" spans="1:12" x14ac:dyDescent="0.3">
      <c r="A314" s="2">
        <v>1313</v>
      </c>
      <c r="B314" s="7">
        <v>45565</v>
      </c>
      <c r="C314" s="8" t="s">
        <v>75</v>
      </c>
      <c r="D314" s="2" t="s">
        <v>15</v>
      </c>
      <c r="E314" s="2" t="s">
        <v>26</v>
      </c>
      <c r="F314" s="2" t="s">
        <v>29</v>
      </c>
      <c r="G314" s="2" t="s">
        <v>25</v>
      </c>
      <c r="H314" s="2">
        <v>8</v>
      </c>
      <c r="I314" s="4">
        <v>4845</v>
      </c>
      <c r="J314" s="4">
        <v>2943</v>
      </c>
      <c r="K314" s="4">
        <f>Tablo1[[#This Row],[Quantity]]*Tablo1[[#This Row],[Unit_Price]]</f>
        <v>38760</v>
      </c>
      <c r="L314" s="4">
        <f>Tablo1[[#This Row],[Sales]]-(Tablo1[[#This Row],[Quantity]]*Tablo1[[#This Row],[Unit_Cost]])</f>
        <v>15216</v>
      </c>
    </row>
    <row r="315" spans="1:12" x14ac:dyDescent="0.3">
      <c r="A315" s="2">
        <v>1314</v>
      </c>
      <c r="B315" s="7">
        <v>45471</v>
      </c>
      <c r="C315" s="8" t="s">
        <v>73</v>
      </c>
      <c r="D315" s="2" t="s">
        <v>44</v>
      </c>
      <c r="E315" s="2" t="s">
        <v>38</v>
      </c>
      <c r="F315" s="2" t="s">
        <v>45</v>
      </c>
      <c r="G315" s="2" t="s">
        <v>34</v>
      </c>
      <c r="H315" s="2">
        <v>5</v>
      </c>
      <c r="I315" s="4">
        <v>3337</v>
      </c>
      <c r="J315" s="4">
        <v>1775</v>
      </c>
      <c r="K315" s="4">
        <f>Tablo1[[#This Row],[Quantity]]*Tablo1[[#This Row],[Unit_Price]]</f>
        <v>16685</v>
      </c>
      <c r="L315" s="4">
        <f>Tablo1[[#This Row],[Sales]]-(Tablo1[[#This Row],[Quantity]]*Tablo1[[#This Row],[Unit_Cost]])</f>
        <v>7810</v>
      </c>
    </row>
    <row r="316" spans="1:12" x14ac:dyDescent="0.3">
      <c r="A316" s="2">
        <v>1315</v>
      </c>
      <c r="B316" s="7">
        <v>45595</v>
      </c>
      <c r="C316" s="8" t="s">
        <v>76</v>
      </c>
      <c r="D316" s="2" t="s">
        <v>19</v>
      </c>
      <c r="E316" s="2" t="s">
        <v>20</v>
      </c>
      <c r="F316" s="2" t="s">
        <v>48</v>
      </c>
      <c r="G316" s="2" t="s">
        <v>34</v>
      </c>
      <c r="H316" s="2">
        <v>7</v>
      </c>
      <c r="I316" s="4">
        <v>5312</v>
      </c>
      <c r="J316" s="4">
        <v>3326</v>
      </c>
      <c r="K316" s="4">
        <f>Tablo1[[#This Row],[Quantity]]*Tablo1[[#This Row],[Unit_Price]]</f>
        <v>37184</v>
      </c>
      <c r="L316" s="4">
        <f>Tablo1[[#This Row],[Sales]]-(Tablo1[[#This Row],[Quantity]]*Tablo1[[#This Row],[Unit_Cost]])</f>
        <v>13902</v>
      </c>
    </row>
    <row r="317" spans="1:12" x14ac:dyDescent="0.3">
      <c r="A317" s="2">
        <v>1316</v>
      </c>
      <c r="B317" s="7">
        <v>45393</v>
      </c>
      <c r="C317" s="8" t="s">
        <v>74</v>
      </c>
      <c r="D317" s="2" t="s">
        <v>44</v>
      </c>
      <c r="E317" s="2" t="s">
        <v>23</v>
      </c>
      <c r="F317" s="2" t="s">
        <v>36</v>
      </c>
      <c r="G317" s="2" t="s">
        <v>34</v>
      </c>
      <c r="H317" s="2">
        <v>2</v>
      </c>
      <c r="I317" s="4">
        <v>5179</v>
      </c>
      <c r="J317" s="4">
        <v>2783</v>
      </c>
      <c r="K317" s="4">
        <f>Tablo1[[#This Row],[Quantity]]*Tablo1[[#This Row],[Unit_Price]]</f>
        <v>10358</v>
      </c>
      <c r="L317" s="4">
        <f>Tablo1[[#This Row],[Sales]]-(Tablo1[[#This Row],[Quantity]]*Tablo1[[#This Row],[Unit_Cost]])</f>
        <v>4792</v>
      </c>
    </row>
    <row r="318" spans="1:12" x14ac:dyDescent="0.3">
      <c r="A318" s="2">
        <v>1317</v>
      </c>
      <c r="B318" s="7">
        <v>45563</v>
      </c>
      <c r="C318" s="8" t="s">
        <v>77</v>
      </c>
      <c r="D318" s="2" t="s">
        <v>43</v>
      </c>
      <c r="E318" s="2" t="s">
        <v>23</v>
      </c>
      <c r="F318" s="2" t="s">
        <v>27</v>
      </c>
      <c r="G318" s="2" t="s">
        <v>28</v>
      </c>
      <c r="H318" s="2">
        <v>7</v>
      </c>
      <c r="I318" s="4">
        <v>1918</v>
      </c>
      <c r="J318" s="4">
        <v>1037</v>
      </c>
      <c r="K318" s="4">
        <f>Tablo1[[#This Row],[Quantity]]*Tablo1[[#This Row],[Unit_Price]]</f>
        <v>13426</v>
      </c>
      <c r="L318" s="4">
        <f>Tablo1[[#This Row],[Sales]]-(Tablo1[[#This Row],[Quantity]]*Tablo1[[#This Row],[Unit_Cost]])</f>
        <v>6167</v>
      </c>
    </row>
    <row r="319" spans="1:12" x14ac:dyDescent="0.3">
      <c r="A319" s="2">
        <v>1318</v>
      </c>
      <c r="B319" s="7">
        <v>45442</v>
      </c>
      <c r="C319" s="8" t="s">
        <v>75</v>
      </c>
      <c r="D319" s="2" t="s">
        <v>13</v>
      </c>
      <c r="E319" s="2" t="s">
        <v>26</v>
      </c>
      <c r="F319" s="2" t="s">
        <v>48</v>
      </c>
      <c r="G319" s="2" t="s">
        <v>34</v>
      </c>
      <c r="H319" s="2">
        <v>2</v>
      </c>
      <c r="I319" s="4">
        <v>4837</v>
      </c>
      <c r="J319" s="4">
        <v>2742</v>
      </c>
      <c r="K319" s="4">
        <f>Tablo1[[#This Row],[Quantity]]*Tablo1[[#This Row],[Unit_Price]]</f>
        <v>9674</v>
      </c>
      <c r="L319" s="4">
        <f>Tablo1[[#This Row],[Sales]]-(Tablo1[[#This Row],[Quantity]]*Tablo1[[#This Row],[Unit_Cost]])</f>
        <v>4190</v>
      </c>
    </row>
    <row r="320" spans="1:12" x14ac:dyDescent="0.3">
      <c r="A320" s="2">
        <v>1319</v>
      </c>
      <c r="B320" s="7">
        <v>45567</v>
      </c>
      <c r="C320" s="8" t="s">
        <v>76</v>
      </c>
      <c r="D320" s="2" t="s">
        <v>10</v>
      </c>
      <c r="E320" s="2" t="s">
        <v>23</v>
      </c>
      <c r="F320" s="2" t="s">
        <v>14</v>
      </c>
      <c r="G320" s="2" t="s">
        <v>12</v>
      </c>
      <c r="H320" s="2">
        <v>2</v>
      </c>
      <c r="I320" s="4">
        <v>13794</v>
      </c>
      <c r="J320" s="4">
        <v>9169</v>
      </c>
      <c r="K320" s="4">
        <f>Tablo1[[#This Row],[Quantity]]*Tablo1[[#This Row],[Unit_Price]]</f>
        <v>27588</v>
      </c>
      <c r="L320" s="4">
        <f>Tablo1[[#This Row],[Sales]]-(Tablo1[[#This Row],[Quantity]]*Tablo1[[#This Row],[Unit_Cost]])</f>
        <v>9250</v>
      </c>
    </row>
    <row r="321" spans="1:12" x14ac:dyDescent="0.3">
      <c r="A321" s="2">
        <v>1320</v>
      </c>
      <c r="B321" s="7">
        <v>45367</v>
      </c>
      <c r="C321" s="8" t="s">
        <v>75</v>
      </c>
      <c r="D321" s="2" t="s">
        <v>32</v>
      </c>
      <c r="E321" s="2" t="s">
        <v>23</v>
      </c>
      <c r="F321" s="2" t="s">
        <v>49</v>
      </c>
      <c r="G321" s="2" t="s">
        <v>12</v>
      </c>
      <c r="H321" s="2">
        <v>1</v>
      </c>
      <c r="I321" s="4">
        <v>16755</v>
      </c>
      <c r="J321" s="4">
        <v>10806</v>
      </c>
      <c r="K321" s="4">
        <f>Tablo1[[#This Row],[Quantity]]*Tablo1[[#This Row],[Unit_Price]]</f>
        <v>16755</v>
      </c>
      <c r="L321" s="4">
        <f>Tablo1[[#This Row],[Sales]]-(Tablo1[[#This Row],[Quantity]]*Tablo1[[#This Row],[Unit_Cost]])</f>
        <v>5949</v>
      </c>
    </row>
    <row r="322" spans="1:12" x14ac:dyDescent="0.3">
      <c r="A322" s="2">
        <v>1321</v>
      </c>
      <c r="B322" s="7">
        <v>45651</v>
      </c>
      <c r="C322" s="8" t="s">
        <v>74</v>
      </c>
      <c r="D322" s="2" t="s">
        <v>19</v>
      </c>
      <c r="E322" s="2" t="s">
        <v>38</v>
      </c>
      <c r="F322" s="2" t="s">
        <v>24</v>
      </c>
      <c r="G322" s="2" t="s">
        <v>25</v>
      </c>
      <c r="H322" s="2">
        <v>5</v>
      </c>
      <c r="I322" s="4">
        <v>6342</v>
      </c>
      <c r="J322" s="4">
        <v>3777</v>
      </c>
      <c r="K322" s="4">
        <f>Tablo1[[#This Row],[Quantity]]*Tablo1[[#This Row],[Unit_Price]]</f>
        <v>31710</v>
      </c>
      <c r="L322" s="4">
        <f>Tablo1[[#This Row],[Sales]]-(Tablo1[[#This Row],[Quantity]]*Tablo1[[#This Row],[Unit_Cost]])</f>
        <v>12825</v>
      </c>
    </row>
    <row r="323" spans="1:12" x14ac:dyDescent="0.3">
      <c r="A323" s="2">
        <v>1322</v>
      </c>
      <c r="B323" s="7">
        <v>45464</v>
      </c>
      <c r="C323" s="8" t="s">
        <v>73</v>
      </c>
      <c r="D323" s="2" t="s">
        <v>13</v>
      </c>
      <c r="E323" s="2" t="s">
        <v>23</v>
      </c>
      <c r="F323" s="2" t="s">
        <v>40</v>
      </c>
      <c r="G323" s="2" t="s">
        <v>25</v>
      </c>
      <c r="H323" s="2">
        <v>9</v>
      </c>
      <c r="I323" s="4">
        <v>3909</v>
      </c>
      <c r="J323" s="4">
        <v>2498</v>
      </c>
      <c r="K323" s="4">
        <f>Tablo1[[#This Row],[Quantity]]*Tablo1[[#This Row],[Unit_Price]]</f>
        <v>35181</v>
      </c>
      <c r="L323" s="4">
        <f>Tablo1[[#This Row],[Sales]]-(Tablo1[[#This Row],[Quantity]]*Tablo1[[#This Row],[Unit_Cost]])</f>
        <v>12699</v>
      </c>
    </row>
    <row r="324" spans="1:12" x14ac:dyDescent="0.3">
      <c r="A324" s="2">
        <v>1323</v>
      </c>
      <c r="B324" s="7">
        <v>45446</v>
      </c>
      <c r="C324" s="8" t="s">
        <v>73</v>
      </c>
      <c r="D324" s="2" t="s">
        <v>19</v>
      </c>
      <c r="E324" s="2" t="s">
        <v>38</v>
      </c>
      <c r="F324" s="2" t="s">
        <v>29</v>
      </c>
      <c r="G324" s="2" t="s">
        <v>25</v>
      </c>
      <c r="H324" s="2">
        <v>3</v>
      </c>
      <c r="I324" s="4">
        <v>2361</v>
      </c>
      <c r="J324" s="4">
        <v>1213</v>
      </c>
      <c r="K324" s="4">
        <f>Tablo1[[#This Row],[Quantity]]*Tablo1[[#This Row],[Unit_Price]]</f>
        <v>7083</v>
      </c>
      <c r="L324" s="4">
        <f>Tablo1[[#This Row],[Sales]]-(Tablo1[[#This Row],[Quantity]]*Tablo1[[#This Row],[Unit_Cost]])</f>
        <v>3444</v>
      </c>
    </row>
    <row r="325" spans="1:12" x14ac:dyDescent="0.3">
      <c r="A325" s="2">
        <v>1324</v>
      </c>
      <c r="B325" s="7">
        <v>45475</v>
      </c>
      <c r="C325" s="8" t="s">
        <v>75</v>
      </c>
      <c r="D325" s="2" t="s">
        <v>35</v>
      </c>
      <c r="E325" s="2" t="s">
        <v>30</v>
      </c>
      <c r="F325" s="2" t="s">
        <v>49</v>
      </c>
      <c r="G325" s="2" t="s">
        <v>12</v>
      </c>
      <c r="H325" s="2">
        <v>7</v>
      </c>
      <c r="I325" s="4">
        <v>6913</v>
      </c>
      <c r="J325" s="4">
        <v>5396</v>
      </c>
      <c r="K325" s="4">
        <f>Tablo1[[#This Row],[Quantity]]*Tablo1[[#This Row],[Unit_Price]]</f>
        <v>48391</v>
      </c>
      <c r="L325" s="4">
        <f>Tablo1[[#This Row],[Sales]]-(Tablo1[[#This Row],[Quantity]]*Tablo1[[#This Row],[Unit_Cost]])</f>
        <v>10619</v>
      </c>
    </row>
    <row r="326" spans="1:12" x14ac:dyDescent="0.3">
      <c r="A326" s="2">
        <v>1325</v>
      </c>
      <c r="B326" s="7">
        <v>45452</v>
      </c>
      <c r="C326" s="8" t="s">
        <v>74</v>
      </c>
      <c r="D326" s="2" t="s">
        <v>10</v>
      </c>
      <c r="E326" s="2" t="s">
        <v>38</v>
      </c>
      <c r="F326" s="2" t="s">
        <v>46</v>
      </c>
      <c r="G326" s="2" t="s">
        <v>17</v>
      </c>
      <c r="H326" s="2">
        <v>9</v>
      </c>
      <c r="I326" s="4">
        <v>8478</v>
      </c>
      <c r="J326" s="4">
        <v>6667</v>
      </c>
      <c r="K326" s="4">
        <f>Tablo1[[#This Row],[Quantity]]*Tablo1[[#This Row],[Unit_Price]]</f>
        <v>76302</v>
      </c>
      <c r="L326" s="4">
        <f>Tablo1[[#This Row],[Sales]]-(Tablo1[[#This Row],[Quantity]]*Tablo1[[#This Row],[Unit_Cost]])</f>
        <v>16299</v>
      </c>
    </row>
    <row r="327" spans="1:12" x14ac:dyDescent="0.3">
      <c r="A327" s="2">
        <v>1326</v>
      </c>
      <c r="B327" s="7">
        <v>45336</v>
      </c>
      <c r="C327" s="8" t="s">
        <v>76</v>
      </c>
      <c r="D327" s="2" t="s">
        <v>13</v>
      </c>
      <c r="E327" s="2" t="s">
        <v>30</v>
      </c>
      <c r="F327" s="2" t="s">
        <v>50</v>
      </c>
      <c r="G327" s="2" t="s">
        <v>28</v>
      </c>
      <c r="H327" s="2">
        <v>7</v>
      </c>
      <c r="I327" s="4">
        <v>3002</v>
      </c>
      <c r="J327" s="4">
        <v>1587</v>
      </c>
      <c r="K327" s="4">
        <f>Tablo1[[#This Row],[Quantity]]*Tablo1[[#This Row],[Unit_Price]]</f>
        <v>21014</v>
      </c>
      <c r="L327" s="4">
        <f>Tablo1[[#This Row],[Sales]]-(Tablo1[[#This Row],[Quantity]]*Tablo1[[#This Row],[Unit_Cost]])</f>
        <v>9905</v>
      </c>
    </row>
    <row r="328" spans="1:12" x14ac:dyDescent="0.3">
      <c r="A328" s="2">
        <v>1327</v>
      </c>
      <c r="B328" s="7">
        <v>45316</v>
      </c>
      <c r="C328" s="8" t="s">
        <v>75</v>
      </c>
      <c r="D328" s="2" t="s">
        <v>19</v>
      </c>
      <c r="E328" s="2" t="s">
        <v>38</v>
      </c>
      <c r="F328" s="2" t="s">
        <v>47</v>
      </c>
      <c r="G328" s="2" t="s">
        <v>25</v>
      </c>
      <c r="H328" s="2">
        <v>10</v>
      </c>
      <c r="I328" s="4">
        <v>4101</v>
      </c>
      <c r="J328" s="4">
        <v>2754</v>
      </c>
      <c r="K328" s="4">
        <f>Tablo1[[#This Row],[Quantity]]*Tablo1[[#This Row],[Unit_Price]]</f>
        <v>41010</v>
      </c>
      <c r="L328" s="4">
        <f>Tablo1[[#This Row],[Sales]]-(Tablo1[[#This Row],[Quantity]]*Tablo1[[#This Row],[Unit_Cost]])</f>
        <v>13470</v>
      </c>
    </row>
    <row r="329" spans="1:12" x14ac:dyDescent="0.3">
      <c r="A329" s="2">
        <v>1328</v>
      </c>
      <c r="B329" s="7">
        <v>45474</v>
      </c>
      <c r="C329" s="8" t="s">
        <v>73</v>
      </c>
      <c r="D329" s="2" t="s">
        <v>35</v>
      </c>
      <c r="E329" s="2" t="s">
        <v>20</v>
      </c>
      <c r="F329" s="2" t="s">
        <v>24</v>
      </c>
      <c r="G329" s="2" t="s">
        <v>25</v>
      </c>
      <c r="H329" s="2">
        <v>8</v>
      </c>
      <c r="I329" s="4">
        <v>4724</v>
      </c>
      <c r="J329" s="4">
        <v>2734</v>
      </c>
      <c r="K329" s="4">
        <f>Tablo1[[#This Row],[Quantity]]*Tablo1[[#This Row],[Unit_Price]]</f>
        <v>37792</v>
      </c>
      <c r="L329" s="4">
        <f>Tablo1[[#This Row],[Sales]]-(Tablo1[[#This Row],[Quantity]]*Tablo1[[#This Row],[Unit_Cost]])</f>
        <v>15920</v>
      </c>
    </row>
    <row r="330" spans="1:12" x14ac:dyDescent="0.3">
      <c r="A330" s="2">
        <v>1329</v>
      </c>
      <c r="B330" s="7">
        <v>45438</v>
      </c>
      <c r="C330" s="8" t="s">
        <v>76</v>
      </c>
      <c r="D330" s="2" t="s">
        <v>13</v>
      </c>
      <c r="E330" s="2" t="s">
        <v>30</v>
      </c>
      <c r="F330" s="2" t="s">
        <v>31</v>
      </c>
      <c r="G330" s="2" t="s">
        <v>17</v>
      </c>
      <c r="H330" s="2">
        <v>7</v>
      </c>
      <c r="I330" s="4">
        <v>5954</v>
      </c>
      <c r="J330" s="4">
        <v>4482</v>
      </c>
      <c r="K330" s="4">
        <f>Tablo1[[#This Row],[Quantity]]*Tablo1[[#This Row],[Unit_Price]]</f>
        <v>41678</v>
      </c>
      <c r="L330" s="4">
        <f>Tablo1[[#This Row],[Sales]]-(Tablo1[[#This Row],[Quantity]]*Tablo1[[#This Row],[Unit_Cost]])</f>
        <v>10304</v>
      </c>
    </row>
    <row r="331" spans="1:12" x14ac:dyDescent="0.3">
      <c r="A331" s="2">
        <v>1330</v>
      </c>
      <c r="B331" s="7">
        <v>45418</v>
      </c>
      <c r="C331" s="8" t="s">
        <v>74</v>
      </c>
      <c r="D331" s="2" t="s">
        <v>44</v>
      </c>
      <c r="E331" s="2" t="s">
        <v>20</v>
      </c>
      <c r="F331" s="2" t="s">
        <v>31</v>
      </c>
      <c r="G331" s="2" t="s">
        <v>17</v>
      </c>
      <c r="H331" s="2">
        <v>3</v>
      </c>
      <c r="I331" s="4">
        <v>7099</v>
      </c>
      <c r="J331" s="4">
        <v>4509</v>
      </c>
      <c r="K331" s="4">
        <f>Tablo1[[#This Row],[Quantity]]*Tablo1[[#This Row],[Unit_Price]]</f>
        <v>21297</v>
      </c>
      <c r="L331" s="4">
        <f>Tablo1[[#This Row],[Sales]]-(Tablo1[[#This Row],[Quantity]]*Tablo1[[#This Row],[Unit_Cost]])</f>
        <v>7770</v>
      </c>
    </row>
    <row r="332" spans="1:12" x14ac:dyDescent="0.3">
      <c r="A332" s="2">
        <v>1331</v>
      </c>
      <c r="B332" s="7">
        <v>45607</v>
      </c>
      <c r="C332" s="8" t="s">
        <v>77</v>
      </c>
      <c r="D332" s="2" t="s">
        <v>44</v>
      </c>
      <c r="E332" s="2" t="s">
        <v>23</v>
      </c>
      <c r="F332" s="2" t="s">
        <v>31</v>
      </c>
      <c r="G332" s="2" t="s">
        <v>17</v>
      </c>
      <c r="H332" s="2">
        <v>9</v>
      </c>
      <c r="I332" s="4">
        <v>5835</v>
      </c>
      <c r="J332" s="4">
        <v>4296</v>
      </c>
      <c r="K332" s="4">
        <f>Tablo1[[#This Row],[Quantity]]*Tablo1[[#This Row],[Unit_Price]]</f>
        <v>52515</v>
      </c>
      <c r="L332" s="4">
        <f>Tablo1[[#This Row],[Sales]]-(Tablo1[[#This Row],[Quantity]]*Tablo1[[#This Row],[Unit_Cost]])</f>
        <v>13851</v>
      </c>
    </row>
    <row r="333" spans="1:12" x14ac:dyDescent="0.3">
      <c r="A333" s="2">
        <v>1332</v>
      </c>
      <c r="B333" s="7">
        <v>45497</v>
      </c>
      <c r="C333" s="8" t="s">
        <v>75</v>
      </c>
      <c r="D333" s="2" t="s">
        <v>15</v>
      </c>
      <c r="E333" s="2" t="s">
        <v>23</v>
      </c>
      <c r="F333" s="2" t="s">
        <v>39</v>
      </c>
      <c r="G333" s="2" t="s">
        <v>28</v>
      </c>
      <c r="H333" s="2">
        <v>1</v>
      </c>
      <c r="I333" s="4">
        <v>2003</v>
      </c>
      <c r="J333" s="4">
        <v>1090</v>
      </c>
      <c r="K333" s="4">
        <f>Tablo1[[#This Row],[Quantity]]*Tablo1[[#This Row],[Unit_Price]]</f>
        <v>2003</v>
      </c>
      <c r="L333" s="4">
        <f>Tablo1[[#This Row],[Sales]]-(Tablo1[[#This Row],[Quantity]]*Tablo1[[#This Row],[Unit_Cost]])</f>
        <v>913</v>
      </c>
    </row>
    <row r="334" spans="1:12" x14ac:dyDescent="0.3">
      <c r="A334" s="2">
        <v>1333</v>
      </c>
      <c r="B334" s="7">
        <v>45606</v>
      </c>
      <c r="C334" s="8" t="s">
        <v>76</v>
      </c>
      <c r="D334" s="2" t="s">
        <v>19</v>
      </c>
      <c r="E334" s="2" t="s">
        <v>26</v>
      </c>
      <c r="F334" s="2" t="s">
        <v>31</v>
      </c>
      <c r="G334" s="2" t="s">
        <v>17</v>
      </c>
      <c r="H334" s="2">
        <v>8</v>
      </c>
      <c r="I334" s="4">
        <v>11625</v>
      </c>
      <c r="J334" s="4">
        <v>7481</v>
      </c>
      <c r="K334" s="4">
        <f>Tablo1[[#This Row],[Quantity]]*Tablo1[[#This Row],[Unit_Price]]</f>
        <v>93000</v>
      </c>
      <c r="L334" s="4">
        <f>Tablo1[[#This Row],[Sales]]-(Tablo1[[#This Row],[Quantity]]*Tablo1[[#This Row],[Unit_Cost]])</f>
        <v>33152</v>
      </c>
    </row>
    <row r="335" spans="1:12" x14ac:dyDescent="0.3">
      <c r="A335" s="2">
        <v>1334</v>
      </c>
      <c r="B335" s="7">
        <v>45360</v>
      </c>
      <c r="C335" s="8" t="s">
        <v>75</v>
      </c>
      <c r="D335" s="2" t="s">
        <v>22</v>
      </c>
      <c r="E335" s="2" t="s">
        <v>38</v>
      </c>
      <c r="F335" s="2" t="s">
        <v>40</v>
      </c>
      <c r="G335" s="2" t="s">
        <v>25</v>
      </c>
      <c r="H335" s="2">
        <v>2</v>
      </c>
      <c r="I335" s="4">
        <v>5377</v>
      </c>
      <c r="J335" s="4">
        <v>3511</v>
      </c>
      <c r="K335" s="4">
        <f>Tablo1[[#This Row],[Quantity]]*Tablo1[[#This Row],[Unit_Price]]</f>
        <v>10754</v>
      </c>
      <c r="L335" s="4">
        <f>Tablo1[[#This Row],[Sales]]-(Tablo1[[#This Row],[Quantity]]*Tablo1[[#This Row],[Unit_Cost]])</f>
        <v>3732</v>
      </c>
    </row>
    <row r="336" spans="1:12" x14ac:dyDescent="0.3">
      <c r="A336" s="2">
        <v>1335</v>
      </c>
      <c r="B336" s="7">
        <v>45575</v>
      </c>
      <c r="C336" s="8" t="s">
        <v>74</v>
      </c>
      <c r="D336" s="2" t="s">
        <v>44</v>
      </c>
      <c r="E336" s="2" t="s">
        <v>23</v>
      </c>
      <c r="F336" s="2" t="s">
        <v>11</v>
      </c>
      <c r="G336" s="2" t="s">
        <v>12</v>
      </c>
      <c r="H336" s="2">
        <v>7</v>
      </c>
      <c r="I336" s="4">
        <v>14928</v>
      </c>
      <c r="J336" s="4">
        <v>8091</v>
      </c>
      <c r="K336" s="4">
        <f>Tablo1[[#This Row],[Quantity]]*Tablo1[[#This Row],[Unit_Price]]</f>
        <v>104496</v>
      </c>
      <c r="L336" s="4">
        <f>Tablo1[[#This Row],[Sales]]-(Tablo1[[#This Row],[Quantity]]*Tablo1[[#This Row],[Unit_Cost]])</f>
        <v>47859</v>
      </c>
    </row>
    <row r="337" spans="1:12" x14ac:dyDescent="0.3">
      <c r="A337" s="2">
        <v>1336</v>
      </c>
      <c r="B337" s="7">
        <v>45310</v>
      </c>
      <c r="C337" s="8" t="s">
        <v>73</v>
      </c>
      <c r="D337" s="2" t="s">
        <v>10</v>
      </c>
      <c r="E337" s="2" t="s">
        <v>26</v>
      </c>
      <c r="F337" s="2" t="s">
        <v>40</v>
      </c>
      <c r="G337" s="2" t="s">
        <v>25</v>
      </c>
      <c r="H337" s="2">
        <v>3</v>
      </c>
      <c r="I337" s="4">
        <v>2263</v>
      </c>
      <c r="J337" s="4">
        <v>1291</v>
      </c>
      <c r="K337" s="4">
        <f>Tablo1[[#This Row],[Quantity]]*Tablo1[[#This Row],[Unit_Price]]</f>
        <v>6789</v>
      </c>
      <c r="L337" s="4">
        <f>Tablo1[[#This Row],[Sales]]-(Tablo1[[#This Row],[Quantity]]*Tablo1[[#This Row],[Unit_Cost]])</f>
        <v>2916</v>
      </c>
    </row>
    <row r="338" spans="1:12" x14ac:dyDescent="0.3">
      <c r="A338" s="2">
        <v>1337</v>
      </c>
      <c r="B338" s="7">
        <v>45465</v>
      </c>
      <c r="C338" s="8" t="s">
        <v>73</v>
      </c>
      <c r="D338" s="2" t="s">
        <v>13</v>
      </c>
      <c r="E338" s="2" t="s">
        <v>30</v>
      </c>
      <c r="F338" s="2" t="s">
        <v>33</v>
      </c>
      <c r="G338" s="2" t="s">
        <v>34</v>
      </c>
      <c r="H338" s="2">
        <v>7</v>
      </c>
      <c r="I338" s="4">
        <v>3840</v>
      </c>
      <c r="J338" s="4">
        <v>2832</v>
      </c>
      <c r="K338" s="4">
        <f>Tablo1[[#This Row],[Quantity]]*Tablo1[[#This Row],[Unit_Price]]</f>
        <v>26880</v>
      </c>
      <c r="L338" s="4">
        <f>Tablo1[[#This Row],[Sales]]-(Tablo1[[#This Row],[Quantity]]*Tablo1[[#This Row],[Unit_Cost]])</f>
        <v>7056</v>
      </c>
    </row>
    <row r="339" spans="1:12" x14ac:dyDescent="0.3">
      <c r="A339" s="2">
        <v>1338</v>
      </c>
      <c r="B339" s="7">
        <v>45602</v>
      </c>
      <c r="C339" s="8" t="s">
        <v>75</v>
      </c>
      <c r="D339" s="2" t="s">
        <v>35</v>
      </c>
      <c r="E339" s="2" t="s">
        <v>26</v>
      </c>
      <c r="F339" s="2" t="s">
        <v>46</v>
      </c>
      <c r="G339" s="2" t="s">
        <v>17</v>
      </c>
      <c r="H339" s="2">
        <v>3</v>
      </c>
      <c r="I339" s="4">
        <v>3580</v>
      </c>
      <c r="J339" s="4">
        <v>2218</v>
      </c>
      <c r="K339" s="4">
        <f>Tablo1[[#This Row],[Quantity]]*Tablo1[[#This Row],[Unit_Price]]</f>
        <v>10740</v>
      </c>
      <c r="L339" s="4">
        <f>Tablo1[[#This Row],[Sales]]-(Tablo1[[#This Row],[Quantity]]*Tablo1[[#This Row],[Unit_Cost]])</f>
        <v>4086</v>
      </c>
    </row>
    <row r="340" spans="1:12" x14ac:dyDescent="0.3">
      <c r="A340" s="2">
        <v>1339</v>
      </c>
      <c r="B340" s="7">
        <v>45414</v>
      </c>
      <c r="C340" s="8" t="s">
        <v>74</v>
      </c>
      <c r="D340" s="2" t="s">
        <v>19</v>
      </c>
      <c r="E340" s="2" t="s">
        <v>26</v>
      </c>
      <c r="F340" s="2" t="s">
        <v>48</v>
      </c>
      <c r="G340" s="2" t="s">
        <v>34</v>
      </c>
      <c r="H340" s="2">
        <v>10</v>
      </c>
      <c r="I340" s="4">
        <v>1333</v>
      </c>
      <c r="J340" s="4">
        <v>907</v>
      </c>
      <c r="K340" s="4">
        <f>Tablo1[[#This Row],[Quantity]]*Tablo1[[#This Row],[Unit_Price]]</f>
        <v>13330</v>
      </c>
      <c r="L340" s="4">
        <f>Tablo1[[#This Row],[Sales]]-(Tablo1[[#This Row],[Quantity]]*Tablo1[[#This Row],[Unit_Cost]])</f>
        <v>4260</v>
      </c>
    </row>
    <row r="341" spans="1:12" x14ac:dyDescent="0.3">
      <c r="A341" s="2">
        <v>1340</v>
      </c>
      <c r="B341" s="7">
        <v>45419</v>
      </c>
      <c r="C341" s="8" t="s">
        <v>76</v>
      </c>
      <c r="D341" s="2" t="s">
        <v>19</v>
      </c>
      <c r="E341" s="2" t="s">
        <v>26</v>
      </c>
      <c r="F341" s="2" t="s">
        <v>42</v>
      </c>
      <c r="G341" s="2" t="s">
        <v>12</v>
      </c>
      <c r="H341" s="2">
        <v>4</v>
      </c>
      <c r="I341" s="4">
        <v>7831</v>
      </c>
      <c r="J341" s="4">
        <v>4032</v>
      </c>
      <c r="K341" s="4">
        <f>Tablo1[[#This Row],[Quantity]]*Tablo1[[#This Row],[Unit_Price]]</f>
        <v>31324</v>
      </c>
      <c r="L341" s="4">
        <f>Tablo1[[#This Row],[Sales]]-(Tablo1[[#This Row],[Quantity]]*Tablo1[[#This Row],[Unit_Cost]])</f>
        <v>15196</v>
      </c>
    </row>
    <row r="342" spans="1:12" x14ac:dyDescent="0.3">
      <c r="A342" s="2">
        <v>1341</v>
      </c>
      <c r="B342" s="7">
        <v>45463</v>
      </c>
      <c r="C342" s="8" t="s">
        <v>75</v>
      </c>
      <c r="D342" s="2" t="s">
        <v>32</v>
      </c>
      <c r="E342" s="2" t="s">
        <v>20</v>
      </c>
      <c r="F342" s="2" t="s">
        <v>27</v>
      </c>
      <c r="G342" s="2" t="s">
        <v>28</v>
      </c>
      <c r="H342" s="2">
        <v>7</v>
      </c>
      <c r="I342" s="4">
        <v>3232</v>
      </c>
      <c r="J342" s="4">
        <v>2118</v>
      </c>
      <c r="K342" s="4">
        <f>Tablo1[[#This Row],[Quantity]]*Tablo1[[#This Row],[Unit_Price]]</f>
        <v>22624</v>
      </c>
      <c r="L342" s="4">
        <f>Tablo1[[#This Row],[Sales]]-(Tablo1[[#This Row],[Quantity]]*Tablo1[[#This Row],[Unit_Cost]])</f>
        <v>7798</v>
      </c>
    </row>
    <row r="343" spans="1:12" x14ac:dyDescent="0.3">
      <c r="A343" s="2">
        <v>1342</v>
      </c>
      <c r="B343" s="7">
        <v>45366</v>
      </c>
      <c r="C343" s="8" t="s">
        <v>73</v>
      </c>
      <c r="D343" s="2" t="s">
        <v>44</v>
      </c>
      <c r="E343" s="2" t="s">
        <v>26</v>
      </c>
      <c r="F343" s="2" t="s">
        <v>16</v>
      </c>
      <c r="G343" s="2" t="s">
        <v>17</v>
      </c>
      <c r="H343" s="2">
        <v>8</v>
      </c>
      <c r="I343" s="4">
        <v>6387</v>
      </c>
      <c r="J343" s="4">
        <v>5030</v>
      </c>
      <c r="K343" s="4">
        <f>Tablo1[[#This Row],[Quantity]]*Tablo1[[#This Row],[Unit_Price]]</f>
        <v>51096</v>
      </c>
      <c r="L343" s="4">
        <f>Tablo1[[#This Row],[Sales]]-(Tablo1[[#This Row],[Quantity]]*Tablo1[[#This Row],[Unit_Cost]])</f>
        <v>10856</v>
      </c>
    </row>
    <row r="344" spans="1:12" x14ac:dyDescent="0.3">
      <c r="A344" s="2">
        <v>1343</v>
      </c>
      <c r="B344" s="7">
        <v>45404</v>
      </c>
      <c r="C344" s="8" t="s">
        <v>76</v>
      </c>
      <c r="D344" s="2" t="s">
        <v>19</v>
      </c>
      <c r="E344" s="2" t="s">
        <v>30</v>
      </c>
      <c r="F344" s="2" t="s">
        <v>50</v>
      </c>
      <c r="G344" s="2" t="s">
        <v>28</v>
      </c>
      <c r="H344" s="2">
        <v>5</v>
      </c>
      <c r="I344" s="4">
        <v>2329</v>
      </c>
      <c r="J344" s="4">
        <v>1547</v>
      </c>
      <c r="K344" s="4">
        <f>Tablo1[[#This Row],[Quantity]]*Tablo1[[#This Row],[Unit_Price]]</f>
        <v>11645</v>
      </c>
      <c r="L344" s="4">
        <f>Tablo1[[#This Row],[Sales]]-(Tablo1[[#This Row],[Quantity]]*Tablo1[[#This Row],[Unit_Cost]])</f>
        <v>3910</v>
      </c>
    </row>
    <row r="345" spans="1:12" x14ac:dyDescent="0.3">
      <c r="A345" s="2">
        <v>1344</v>
      </c>
      <c r="B345" s="7">
        <v>45606</v>
      </c>
      <c r="C345" s="8" t="s">
        <v>74</v>
      </c>
      <c r="D345" s="2" t="s">
        <v>41</v>
      </c>
      <c r="E345" s="2" t="s">
        <v>38</v>
      </c>
      <c r="F345" s="2" t="s">
        <v>42</v>
      </c>
      <c r="G345" s="2" t="s">
        <v>12</v>
      </c>
      <c r="H345" s="2">
        <v>3</v>
      </c>
      <c r="I345" s="4">
        <v>24475</v>
      </c>
      <c r="J345" s="4">
        <v>18770</v>
      </c>
      <c r="K345" s="4">
        <f>Tablo1[[#This Row],[Quantity]]*Tablo1[[#This Row],[Unit_Price]]</f>
        <v>73425</v>
      </c>
      <c r="L345" s="4">
        <f>Tablo1[[#This Row],[Sales]]-(Tablo1[[#This Row],[Quantity]]*Tablo1[[#This Row],[Unit_Cost]])</f>
        <v>17115</v>
      </c>
    </row>
    <row r="346" spans="1:12" x14ac:dyDescent="0.3">
      <c r="A346" s="2">
        <v>1345</v>
      </c>
      <c r="B346" s="7">
        <v>45646</v>
      </c>
      <c r="C346" s="8" t="s">
        <v>77</v>
      </c>
      <c r="D346" s="2" t="s">
        <v>22</v>
      </c>
      <c r="E346" s="2" t="s">
        <v>23</v>
      </c>
      <c r="F346" s="2" t="s">
        <v>45</v>
      </c>
      <c r="G346" s="2" t="s">
        <v>34</v>
      </c>
      <c r="H346" s="2">
        <v>9</v>
      </c>
      <c r="I346" s="4">
        <v>5572</v>
      </c>
      <c r="J346" s="4">
        <v>3550</v>
      </c>
      <c r="K346" s="4">
        <f>Tablo1[[#This Row],[Quantity]]*Tablo1[[#This Row],[Unit_Price]]</f>
        <v>50148</v>
      </c>
      <c r="L346" s="4">
        <f>Tablo1[[#This Row],[Sales]]-(Tablo1[[#This Row],[Quantity]]*Tablo1[[#This Row],[Unit_Cost]])</f>
        <v>18198</v>
      </c>
    </row>
    <row r="347" spans="1:12" x14ac:dyDescent="0.3">
      <c r="A347" s="2">
        <v>1346</v>
      </c>
      <c r="B347" s="7">
        <v>45447</v>
      </c>
      <c r="C347" s="8" t="s">
        <v>75</v>
      </c>
      <c r="D347" s="2" t="s">
        <v>10</v>
      </c>
      <c r="E347" s="2" t="s">
        <v>23</v>
      </c>
      <c r="F347" s="2" t="s">
        <v>31</v>
      </c>
      <c r="G347" s="2" t="s">
        <v>17</v>
      </c>
      <c r="H347" s="2">
        <v>1</v>
      </c>
      <c r="I347" s="4">
        <v>5275</v>
      </c>
      <c r="J347" s="4">
        <v>3437</v>
      </c>
      <c r="K347" s="4">
        <f>Tablo1[[#This Row],[Quantity]]*Tablo1[[#This Row],[Unit_Price]]</f>
        <v>5275</v>
      </c>
      <c r="L347" s="4">
        <f>Tablo1[[#This Row],[Sales]]-(Tablo1[[#This Row],[Quantity]]*Tablo1[[#This Row],[Unit_Cost]])</f>
        <v>1838</v>
      </c>
    </row>
    <row r="348" spans="1:12" x14ac:dyDescent="0.3">
      <c r="A348" s="2">
        <v>1347</v>
      </c>
      <c r="B348" s="7">
        <v>45567</v>
      </c>
      <c r="C348" s="8" t="s">
        <v>76</v>
      </c>
      <c r="D348" s="2" t="s">
        <v>15</v>
      </c>
      <c r="E348" s="2" t="s">
        <v>20</v>
      </c>
      <c r="F348" s="2" t="s">
        <v>45</v>
      </c>
      <c r="G348" s="2" t="s">
        <v>34</v>
      </c>
      <c r="H348" s="2">
        <v>8</v>
      </c>
      <c r="I348" s="4">
        <v>3818</v>
      </c>
      <c r="J348" s="4">
        <v>2257</v>
      </c>
      <c r="K348" s="4">
        <f>Tablo1[[#This Row],[Quantity]]*Tablo1[[#This Row],[Unit_Price]]</f>
        <v>30544</v>
      </c>
      <c r="L348" s="4">
        <f>Tablo1[[#This Row],[Sales]]-(Tablo1[[#This Row],[Quantity]]*Tablo1[[#This Row],[Unit_Cost]])</f>
        <v>12488</v>
      </c>
    </row>
    <row r="349" spans="1:12" x14ac:dyDescent="0.3">
      <c r="A349" s="2">
        <v>1348</v>
      </c>
      <c r="B349" s="7">
        <v>45308</v>
      </c>
      <c r="C349" s="8" t="s">
        <v>75</v>
      </c>
      <c r="D349" s="2" t="s">
        <v>13</v>
      </c>
      <c r="E349" s="2" t="s">
        <v>30</v>
      </c>
      <c r="F349" s="2" t="s">
        <v>24</v>
      </c>
      <c r="G349" s="2" t="s">
        <v>25</v>
      </c>
      <c r="H349" s="2">
        <v>4</v>
      </c>
      <c r="I349" s="4">
        <v>2361</v>
      </c>
      <c r="J349" s="4">
        <v>1404</v>
      </c>
      <c r="K349" s="4">
        <f>Tablo1[[#This Row],[Quantity]]*Tablo1[[#This Row],[Unit_Price]]</f>
        <v>9444</v>
      </c>
      <c r="L349" s="4">
        <f>Tablo1[[#This Row],[Sales]]-(Tablo1[[#This Row],[Quantity]]*Tablo1[[#This Row],[Unit_Cost]])</f>
        <v>3828</v>
      </c>
    </row>
    <row r="350" spans="1:12" x14ac:dyDescent="0.3">
      <c r="A350" s="2">
        <v>1349</v>
      </c>
      <c r="B350" s="7">
        <v>45571</v>
      </c>
      <c r="C350" s="8" t="s">
        <v>74</v>
      </c>
      <c r="D350" s="2" t="s">
        <v>35</v>
      </c>
      <c r="E350" s="2" t="s">
        <v>30</v>
      </c>
      <c r="F350" s="2" t="s">
        <v>27</v>
      </c>
      <c r="G350" s="2" t="s">
        <v>28</v>
      </c>
      <c r="H350" s="2">
        <v>8</v>
      </c>
      <c r="I350" s="4">
        <v>3866</v>
      </c>
      <c r="J350" s="4">
        <v>3068</v>
      </c>
      <c r="K350" s="4">
        <f>Tablo1[[#This Row],[Quantity]]*Tablo1[[#This Row],[Unit_Price]]</f>
        <v>30928</v>
      </c>
      <c r="L350" s="4">
        <f>Tablo1[[#This Row],[Sales]]-(Tablo1[[#This Row],[Quantity]]*Tablo1[[#This Row],[Unit_Cost]])</f>
        <v>6384</v>
      </c>
    </row>
    <row r="351" spans="1:12" x14ac:dyDescent="0.3">
      <c r="A351" s="2">
        <v>1350</v>
      </c>
      <c r="B351" s="7">
        <v>45312</v>
      </c>
      <c r="C351" s="8" t="s">
        <v>73</v>
      </c>
      <c r="D351" s="2" t="s">
        <v>43</v>
      </c>
      <c r="E351" s="2" t="s">
        <v>30</v>
      </c>
      <c r="F351" s="2" t="s">
        <v>48</v>
      </c>
      <c r="G351" s="2" t="s">
        <v>34</v>
      </c>
      <c r="H351" s="2">
        <v>7</v>
      </c>
      <c r="I351" s="4">
        <v>5542</v>
      </c>
      <c r="J351" s="4">
        <v>3490</v>
      </c>
      <c r="K351" s="4">
        <f>Tablo1[[#This Row],[Quantity]]*Tablo1[[#This Row],[Unit_Price]]</f>
        <v>38794</v>
      </c>
      <c r="L351" s="4">
        <f>Tablo1[[#This Row],[Sales]]-(Tablo1[[#This Row],[Quantity]]*Tablo1[[#This Row],[Unit_Cost]])</f>
        <v>14364</v>
      </c>
    </row>
    <row r="352" spans="1:12" x14ac:dyDescent="0.3">
      <c r="A352" s="2">
        <v>1351</v>
      </c>
      <c r="B352" s="7">
        <v>45634</v>
      </c>
      <c r="C352" s="8" t="s">
        <v>73</v>
      </c>
      <c r="D352" s="2" t="s">
        <v>19</v>
      </c>
      <c r="E352" s="2" t="s">
        <v>38</v>
      </c>
      <c r="F352" s="2" t="s">
        <v>11</v>
      </c>
      <c r="G352" s="2" t="s">
        <v>12</v>
      </c>
      <c r="H352" s="2">
        <v>2</v>
      </c>
      <c r="I352" s="4">
        <v>13433</v>
      </c>
      <c r="J352" s="4">
        <v>7074</v>
      </c>
      <c r="K352" s="4">
        <f>Tablo1[[#This Row],[Quantity]]*Tablo1[[#This Row],[Unit_Price]]</f>
        <v>26866</v>
      </c>
      <c r="L352" s="4">
        <f>Tablo1[[#This Row],[Sales]]-(Tablo1[[#This Row],[Quantity]]*Tablo1[[#This Row],[Unit_Cost]])</f>
        <v>12718</v>
      </c>
    </row>
    <row r="353" spans="1:12" x14ac:dyDescent="0.3">
      <c r="A353" s="2">
        <v>1352</v>
      </c>
      <c r="B353" s="7">
        <v>45453</v>
      </c>
      <c r="C353" s="8" t="s">
        <v>75</v>
      </c>
      <c r="D353" s="2" t="s">
        <v>44</v>
      </c>
      <c r="E353" s="2" t="s">
        <v>30</v>
      </c>
      <c r="F353" s="2" t="s">
        <v>47</v>
      </c>
      <c r="G353" s="2" t="s">
        <v>25</v>
      </c>
      <c r="H353" s="2">
        <v>10</v>
      </c>
      <c r="I353" s="4">
        <v>7229</v>
      </c>
      <c r="J353" s="4">
        <v>4842</v>
      </c>
      <c r="K353" s="4">
        <f>Tablo1[[#This Row],[Quantity]]*Tablo1[[#This Row],[Unit_Price]]</f>
        <v>72290</v>
      </c>
      <c r="L353" s="4">
        <f>Tablo1[[#This Row],[Sales]]-(Tablo1[[#This Row],[Quantity]]*Tablo1[[#This Row],[Unit_Cost]])</f>
        <v>23870</v>
      </c>
    </row>
    <row r="354" spans="1:12" x14ac:dyDescent="0.3">
      <c r="A354" s="2">
        <v>1353</v>
      </c>
      <c r="B354" s="7">
        <v>45480</v>
      </c>
      <c r="C354" s="8" t="s">
        <v>74</v>
      </c>
      <c r="D354" s="2" t="s">
        <v>44</v>
      </c>
      <c r="E354" s="2" t="s">
        <v>30</v>
      </c>
      <c r="F354" s="2" t="s">
        <v>45</v>
      </c>
      <c r="G354" s="2" t="s">
        <v>34</v>
      </c>
      <c r="H354" s="2">
        <v>10</v>
      </c>
      <c r="I354" s="4">
        <v>1949</v>
      </c>
      <c r="J354" s="4">
        <v>1145</v>
      </c>
      <c r="K354" s="4">
        <f>Tablo1[[#This Row],[Quantity]]*Tablo1[[#This Row],[Unit_Price]]</f>
        <v>19490</v>
      </c>
      <c r="L354" s="4">
        <f>Tablo1[[#This Row],[Sales]]-(Tablo1[[#This Row],[Quantity]]*Tablo1[[#This Row],[Unit_Cost]])</f>
        <v>8040</v>
      </c>
    </row>
    <row r="355" spans="1:12" x14ac:dyDescent="0.3">
      <c r="A355" s="2">
        <v>1354</v>
      </c>
      <c r="B355" s="7">
        <v>45446</v>
      </c>
      <c r="C355" s="8" t="s">
        <v>76</v>
      </c>
      <c r="D355" s="2" t="s">
        <v>35</v>
      </c>
      <c r="E355" s="2" t="s">
        <v>26</v>
      </c>
      <c r="F355" s="2" t="s">
        <v>40</v>
      </c>
      <c r="G355" s="2" t="s">
        <v>25</v>
      </c>
      <c r="H355" s="2">
        <v>1</v>
      </c>
      <c r="I355" s="4">
        <v>6630</v>
      </c>
      <c r="J355" s="4">
        <v>5066</v>
      </c>
      <c r="K355" s="4">
        <f>Tablo1[[#This Row],[Quantity]]*Tablo1[[#This Row],[Unit_Price]]</f>
        <v>6630</v>
      </c>
      <c r="L355" s="4">
        <f>Tablo1[[#This Row],[Sales]]-(Tablo1[[#This Row],[Quantity]]*Tablo1[[#This Row],[Unit_Cost]])</f>
        <v>1564</v>
      </c>
    </row>
    <row r="356" spans="1:12" x14ac:dyDescent="0.3">
      <c r="A356" s="2">
        <v>1355</v>
      </c>
      <c r="B356" s="7">
        <v>45579</v>
      </c>
      <c r="C356" s="8" t="s">
        <v>75</v>
      </c>
      <c r="D356" s="2" t="s">
        <v>10</v>
      </c>
      <c r="E356" s="2" t="s">
        <v>38</v>
      </c>
      <c r="F356" s="2" t="s">
        <v>46</v>
      </c>
      <c r="G356" s="2" t="s">
        <v>17</v>
      </c>
      <c r="H356" s="2">
        <v>1</v>
      </c>
      <c r="I356" s="4">
        <v>1774</v>
      </c>
      <c r="J356" s="4">
        <v>989</v>
      </c>
      <c r="K356" s="4">
        <f>Tablo1[[#This Row],[Quantity]]*Tablo1[[#This Row],[Unit_Price]]</f>
        <v>1774</v>
      </c>
      <c r="L356" s="4">
        <f>Tablo1[[#This Row],[Sales]]-(Tablo1[[#This Row],[Quantity]]*Tablo1[[#This Row],[Unit_Cost]])</f>
        <v>785</v>
      </c>
    </row>
    <row r="357" spans="1:12" x14ac:dyDescent="0.3">
      <c r="A357" s="2">
        <v>1356</v>
      </c>
      <c r="B357" s="7">
        <v>45399</v>
      </c>
      <c r="C357" s="8" t="s">
        <v>73</v>
      </c>
      <c r="D357" s="2" t="s">
        <v>10</v>
      </c>
      <c r="E357" s="2" t="s">
        <v>38</v>
      </c>
      <c r="F357" s="2" t="s">
        <v>27</v>
      </c>
      <c r="G357" s="2" t="s">
        <v>28</v>
      </c>
      <c r="H357" s="2">
        <v>5</v>
      </c>
      <c r="I357" s="4">
        <v>907</v>
      </c>
      <c r="J357" s="4">
        <v>695</v>
      </c>
      <c r="K357" s="4">
        <f>Tablo1[[#This Row],[Quantity]]*Tablo1[[#This Row],[Unit_Price]]</f>
        <v>4535</v>
      </c>
      <c r="L357" s="4">
        <f>Tablo1[[#This Row],[Sales]]-(Tablo1[[#This Row],[Quantity]]*Tablo1[[#This Row],[Unit_Cost]])</f>
        <v>1060</v>
      </c>
    </row>
    <row r="358" spans="1:12" x14ac:dyDescent="0.3">
      <c r="A358" s="2">
        <v>1357</v>
      </c>
      <c r="B358" s="7">
        <v>45579</v>
      </c>
      <c r="C358" s="8" t="s">
        <v>76</v>
      </c>
      <c r="D358" s="2" t="s">
        <v>13</v>
      </c>
      <c r="E358" s="2" t="s">
        <v>20</v>
      </c>
      <c r="F358" s="2" t="s">
        <v>48</v>
      </c>
      <c r="G358" s="2" t="s">
        <v>34</v>
      </c>
      <c r="H358" s="2">
        <v>5</v>
      </c>
      <c r="I358" s="4">
        <v>6364</v>
      </c>
      <c r="J358" s="4">
        <v>3962</v>
      </c>
      <c r="K358" s="4">
        <f>Tablo1[[#This Row],[Quantity]]*Tablo1[[#This Row],[Unit_Price]]</f>
        <v>31820</v>
      </c>
      <c r="L358" s="4">
        <f>Tablo1[[#This Row],[Sales]]-(Tablo1[[#This Row],[Quantity]]*Tablo1[[#This Row],[Unit_Cost]])</f>
        <v>12010</v>
      </c>
    </row>
    <row r="359" spans="1:12" x14ac:dyDescent="0.3">
      <c r="A359" s="2">
        <v>1358</v>
      </c>
      <c r="B359" s="7">
        <v>45412</v>
      </c>
      <c r="C359" s="8" t="s">
        <v>74</v>
      </c>
      <c r="D359" s="2" t="s">
        <v>35</v>
      </c>
      <c r="E359" s="2" t="s">
        <v>23</v>
      </c>
      <c r="F359" s="2" t="s">
        <v>24</v>
      </c>
      <c r="G359" s="2" t="s">
        <v>25</v>
      </c>
      <c r="H359" s="2">
        <v>2</v>
      </c>
      <c r="I359" s="4">
        <v>6843</v>
      </c>
      <c r="J359" s="4">
        <v>4942</v>
      </c>
      <c r="K359" s="4">
        <f>Tablo1[[#This Row],[Quantity]]*Tablo1[[#This Row],[Unit_Price]]</f>
        <v>13686</v>
      </c>
      <c r="L359" s="4">
        <f>Tablo1[[#This Row],[Sales]]-(Tablo1[[#This Row],[Quantity]]*Tablo1[[#This Row],[Unit_Cost]])</f>
        <v>3802</v>
      </c>
    </row>
    <row r="360" spans="1:12" x14ac:dyDescent="0.3">
      <c r="A360" s="2">
        <v>1359</v>
      </c>
      <c r="B360" s="7">
        <v>45465</v>
      </c>
      <c r="C360" s="8" t="s">
        <v>77</v>
      </c>
      <c r="D360" s="2" t="s">
        <v>19</v>
      </c>
      <c r="E360" s="2" t="s">
        <v>26</v>
      </c>
      <c r="F360" s="2" t="s">
        <v>24</v>
      </c>
      <c r="G360" s="2" t="s">
        <v>25</v>
      </c>
      <c r="H360" s="2">
        <v>1</v>
      </c>
      <c r="I360" s="4">
        <v>4764</v>
      </c>
      <c r="J360" s="4">
        <v>3053</v>
      </c>
      <c r="K360" s="4">
        <f>Tablo1[[#This Row],[Quantity]]*Tablo1[[#This Row],[Unit_Price]]</f>
        <v>4764</v>
      </c>
      <c r="L360" s="4">
        <f>Tablo1[[#This Row],[Sales]]-(Tablo1[[#This Row],[Quantity]]*Tablo1[[#This Row],[Unit_Cost]])</f>
        <v>1711</v>
      </c>
    </row>
    <row r="361" spans="1:12" x14ac:dyDescent="0.3">
      <c r="A361" s="2">
        <v>1360</v>
      </c>
      <c r="B361" s="7">
        <v>45615</v>
      </c>
      <c r="C361" s="8" t="s">
        <v>75</v>
      </c>
      <c r="D361" s="2" t="s">
        <v>22</v>
      </c>
      <c r="E361" s="2" t="s">
        <v>26</v>
      </c>
      <c r="F361" s="2" t="s">
        <v>36</v>
      </c>
      <c r="G361" s="2" t="s">
        <v>34</v>
      </c>
      <c r="H361" s="2">
        <v>6</v>
      </c>
      <c r="I361" s="4">
        <v>3345</v>
      </c>
      <c r="J361" s="4">
        <v>1886</v>
      </c>
      <c r="K361" s="4">
        <f>Tablo1[[#This Row],[Quantity]]*Tablo1[[#This Row],[Unit_Price]]</f>
        <v>20070</v>
      </c>
      <c r="L361" s="4">
        <f>Tablo1[[#This Row],[Sales]]-(Tablo1[[#This Row],[Quantity]]*Tablo1[[#This Row],[Unit_Cost]])</f>
        <v>8754</v>
      </c>
    </row>
    <row r="362" spans="1:12" x14ac:dyDescent="0.3">
      <c r="A362" s="2">
        <v>1361</v>
      </c>
      <c r="B362" s="7">
        <v>45518</v>
      </c>
      <c r="C362" s="8" t="s">
        <v>76</v>
      </c>
      <c r="D362" s="2" t="s">
        <v>13</v>
      </c>
      <c r="E362" s="2" t="s">
        <v>23</v>
      </c>
      <c r="F362" s="2" t="s">
        <v>37</v>
      </c>
      <c r="G362" s="2" t="s">
        <v>28</v>
      </c>
      <c r="H362" s="2">
        <v>3</v>
      </c>
      <c r="I362" s="4">
        <v>2137</v>
      </c>
      <c r="J362" s="4">
        <v>1241</v>
      </c>
      <c r="K362" s="4">
        <f>Tablo1[[#This Row],[Quantity]]*Tablo1[[#This Row],[Unit_Price]]</f>
        <v>6411</v>
      </c>
      <c r="L362" s="4">
        <f>Tablo1[[#This Row],[Sales]]-(Tablo1[[#This Row],[Quantity]]*Tablo1[[#This Row],[Unit_Cost]])</f>
        <v>2688</v>
      </c>
    </row>
    <row r="363" spans="1:12" x14ac:dyDescent="0.3">
      <c r="A363" s="2">
        <v>1362</v>
      </c>
      <c r="B363" s="7">
        <v>45507</v>
      </c>
      <c r="C363" s="8" t="s">
        <v>75</v>
      </c>
      <c r="D363" s="2" t="s">
        <v>10</v>
      </c>
      <c r="E363" s="2" t="s">
        <v>30</v>
      </c>
      <c r="F363" s="2" t="s">
        <v>46</v>
      </c>
      <c r="G363" s="2" t="s">
        <v>17</v>
      </c>
      <c r="H363" s="2">
        <v>9</v>
      </c>
      <c r="I363" s="4">
        <v>11579</v>
      </c>
      <c r="J363" s="4">
        <v>7817</v>
      </c>
      <c r="K363" s="4">
        <f>Tablo1[[#This Row],[Quantity]]*Tablo1[[#This Row],[Unit_Price]]</f>
        <v>104211</v>
      </c>
      <c r="L363" s="4">
        <f>Tablo1[[#This Row],[Sales]]-(Tablo1[[#This Row],[Quantity]]*Tablo1[[#This Row],[Unit_Cost]])</f>
        <v>33858</v>
      </c>
    </row>
    <row r="364" spans="1:12" x14ac:dyDescent="0.3">
      <c r="A364" s="2">
        <v>1363</v>
      </c>
      <c r="B364" s="7">
        <v>45501</v>
      </c>
      <c r="C364" s="8" t="s">
        <v>74</v>
      </c>
      <c r="D364" s="2" t="s">
        <v>15</v>
      </c>
      <c r="E364" s="2" t="s">
        <v>30</v>
      </c>
      <c r="F364" s="2" t="s">
        <v>50</v>
      </c>
      <c r="G364" s="2" t="s">
        <v>28</v>
      </c>
      <c r="H364" s="2">
        <v>6</v>
      </c>
      <c r="I364" s="4">
        <v>1684</v>
      </c>
      <c r="J364" s="4">
        <v>923</v>
      </c>
      <c r="K364" s="4">
        <f>Tablo1[[#This Row],[Quantity]]*Tablo1[[#This Row],[Unit_Price]]</f>
        <v>10104</v>
      </c>
      <c r="L364" s="4">
        <f>Tablo1[[#This Row],[Sales]]-(Tablo1[[#This Row],[Quantity]]*Tablo1[[#This Row],[Unit_Cost]])</f>
        <v>4566</v>
      </c>
    </row>
    <row r="365" spans="1:12" x14ac:dyDescent="0.3">
      <c r="A365" s="2">
        <v>1364</v>
      </c>
      <c r="B365" s="7">
        <v>45364</v>
      </c>
      <c r="C365" s="8" t="s">
        <v>73</v>
      </c>
      <c r="D365" s="2" t="s">
        <v>13</v>
      </c>
      <c r="E365" s="2" t="s">
        <v>38</v>
      </c>
      <c r="F365" s="2" t="s">
        <v>39</v>
      </c>
      <c r="G365" s="2" t="s">
        <v>28</v>
      </c>
      <c r="H365" s="2">
        <v>10</v>
      </c>
      <c r="I365" s="4">
        <v>2529</v>
      </c>
      <c r="J365" s="4">
        <v>1722</v>
      </c>
      <c r="K365" s="4">
        <f>Tablo1[[#This Row],[Quantity]]*Tablo1[[#This Row],[Unit_Price]]</f>
        <v>25290</v>
      </c>
      <c r="L365" s="4">
        <f>Tablo1[[#This Row],[Sales]]-(Tablo1[[#This Row],[Quantity]]*Tablo1[[#This Row],[Unit_Cost]])</f>
        <v>8070</v>
      </c>
    </row>
    <row r="366" spans="1:12" x14ac:dyDescent="0.3">
      <c r="A366" s="2">
        <v>1365</v>
      </c>
      <c r="B366" s="7">
        <v>45331</v>
      </c>
      <c r="C366" s="8" t="s">
        <v>73</v>
      </c>
      <c r="D366" s="2" t="s">
        <v>44</v>
      </c>
      <c r="E366" s="2" t="s">
        <v>38</v>
      </c>
      <c r="F366" s="2" t="s">
        <v>14</v>
      </c>
      <c r="G366" s="2" t="s">
        <v>12</v>
      </c>
      <c r="H366" s="2">
        <v>5</v>
      </c>
      <c r="I366" s="4">
        <v>13097</v>
      </c>
      <c r="J366" s="4">
        <v>9313</v>
      </c>
      <c r="K366" s="4">
        <f>Tablo1[[#This Row],[Quantity]]*Tablo1[[#This Row],[Unit_Price]]</f>
        <v>65485</v>
      </c>
      <c r="L366" s="4">
        <f>Tablo1[[#This Row],[Sales]]-(Tablo1[[#This Row],[Quantity]]*Tablo1[[#This Row],[Unit_Cost]])</f>
        <v>18920</v>
      </c>
    </row>
    <row r="367" spans="1:12" x14ac:dyDescent="0.3">
      <c r="A367" s="2">
        <v>1366</v>
      </c>
      <c r="B367" s="7">
        <v>45579</v>
      </c>
      <c r="C367" s="8" t="s">
        <v>75</v>
      </c>
      <c r="D367" s="2" t="s">
        <v>43</v>
      </c>
      <c r="E367" s="2" t="s">
        <v>38</v>
      </c>
      <c r="F367" s="2" t="s">
        <v>40</v>
      </c>
      <c r="G367" s="2" t="s">
        <v>25</v>
      </c>
      <c r="H367" s="2">
        <v>10</v>
      </c>
      <c r="I367" s="4">
        <v>7840</v>
      </c>
      <c r="J367" s="4">
        <v>4231</v>
      </c>
      <c r="K367" s="4">
        <f>Tablo1[[#This Row],[Quantity]]*Tablo1[[#This Row],[Unit_Price]]</f>
        <v>78400</v>
      </c>
      <c r="L367" s="4">
        <f>Tablo1[[#This Row],[Sales]]-(Tablo1[[#This Row],[Quantity]]*Tablo1[[#This Row],[Unit_Cost]])</f>
        <v>36090</v>
      </c>
    </row>
    <row r="368" spans="1:12" x14ac:dyDescent="0.3">
      <c r="A368" s="2">
        <v>1367</v>
      </c>
      <c r="B368" s="7">
        <v>45626</v>
      </c>
      <c r="C368" s="8" t="s">
        <v>74</v>
      </c>
      <c r="D368" s="2" t="s">
        <v>44</v>
      </c>
      <c r="E368" s="2" t="s">
        <v>23</v>
      </c>
      <c r="F368" s="2" t="s">
        <v>27</v>
      </c>
      <c r="G368" s="2" t="s">
        <v>28</v>
      </c>
      <c r="H368" s="2">
        <v>9</v>
      </c>
      <c r="I368" s="4">
        <v>2213</v>
      </c>
      <c r="J368" s="4">
        <v>1500</v>
      </c>
      <c r="K368" s="4">
        <f>Tablo1[[#This Row],[Quantity]]*Tablo1[[#This Row],[Unit_Price]]</f>
        <v>19917</v>
      </c>
      <c r="L368" s="4">
        <f>Tablo1[[#This Row],[Sales]]-(Tablo1[[#This Row],[Quantity]]*Tablo1[[#This Row],[Unit_Cost]])</f>
        <v>6417</v>
      </c>
    </row>
    <row r="369" spans="1:12" x14ac:dyDescent="0.3">
      <c r="A369" s="2">
        <v>1368</v>
      </c>
      <c r="B369" s="7">
        <v>45368</v>
      </c>
      <c r="C369" s="8" t="s">
        <v>76</v>
      </c>
      <c r="D369" s="2" t="s">
        <v>43</v>
      </c>
      <c r="E369" s="2" t="s">
        <v>23</v>
      </c>
      <c r="F369" s="2" t="s">
        <v>33</v>
      </c>
      <c r="G369" s="2" t="s">
        <v>34</v>
      </c>
      <c r="H369" s="2">
        <v>8</v>
      </c>
      <c r="I369" s="4">
        <v>904</v>
      </c>
      <c r="J369" s="4">
        <v>615</v>
      </c>
      <c r="K369" s="4">
        <f>Tablo1[[#This Row],[Quantity]]*Tablo1[[#This Row],[Unit_Price]]</f>
        <v>7232</v>
      </c>
      <c r="L369" s="4">
        <f>Tablo1[[#This Row],[Sales]]-(Tablo1[[#This Row],[Quantity]]*Tablo1[[#This Row],[Unit_Cost]])</f>
        <v>2312</v>
      </c>
    </row>
    <row r="370" spans="1:12" x14ac:dyDescent="0.3">
      <c r="A370" s="2">
        <v>1369</v>
      </c>
      <c r="B370" s="7">
        <v>45639</v>
      </c>
      <c r="C370" s="8" t="s">
        <v>75</v>
      </c>
      <c r="D370" s="2" t="s">
        <v>10</v>
      </c>
      <c r="E370" s="2" t="s">
        <v>30</v>
      </c>
      <c r="F370" s="2" t="s">
        <v>21</v>
      </c>
      <c r="G370" s="2" t="s">
        <v>17</v>
      </c>
      <c r="H370" s="2">
        <v>3</v>
      </c>
      <c r="I370" s="4">
        <v>9888</v>
      </c>
      <c r="J370" s="4">
        <v>5060</v>
      </c>
      <c r="K370" s="4">
        <f>Tablo1[[#This Row],[Quantity]]*Tablo1[[#This Row],[Unit_Price]]</f>
        <v>29664</v>
      </c>
      <c r="L370" s="4">
        <f>Tablo1[[#This Row],[Sales]]-(Tablo1[[#This Row],[Quantity]]*Tablo1[[#This Row],[Unit_Cost]])</f>
        <v>14484</v>
      </c>
    </row>
    <row r="371" spans="1:12" x14ac:dyDescent="0.3">
      <c r="A371" s="2">
        <v>1370</v>
      </c>
      <c r="B371" s="7">
        <v>45336</v>
      </c>
      <c r="C371" s="8" t="s">
        <v>73</v>
      </c>
      <c r="D371" s="2" t="s">
        <v>35</v>
      </c>
      <c r="E371" s="2" t="s">
        <v>20</v>
      </c>
      <c r="F371" s="2" t="s">
        <v>21</v>
      </c>
      <c r="G371" s="2" t="s">
        <v>17</v>
      </c>
      <c r="H371" s="2">
        <v>2</v>
      </c>
      <c r="I371" s="4">
        <v>11424</v>
      </c>
      <c r="J371" s="4">
        <v>8730</v>
      </c>
      <c r="K371" s="4">
        <f>Tablo1[[#This Row],[Quantity]]*Tablo1[[#This Row],[Unit_Price]]</f>
        <v>22848</v>
      </c>
      <c r="L371" s="4">
        <f>Tablo1[[#This Row],[Sales]]-(Tablo1[[#This Row],[Quantity]]*Tablo1[[#This Row],[Unit_Cost]])</f>
        <v>5388</v>
      </c>
    </row>
    <row r="372" spans="1:12" x14ac:dyDescent="0.3">
      <c r="A372" s="2">
        <v>1371</v>
      </c>
      <c r="B372" s="7">
        <v>45295</v>
      </c>
      <c r="C372" s="8" t="s">
        <v>76</v>
      </c>
      <c r="D372" s="2" t="s">
        <v>41</v>
      </c>
      <c r="E372" s="2" t="s">
        <v>30</v>
      </c>
      <c r="F372" s="2" t="s">
        <v>50</v>
      </c>
      <c r="G372" s="2" t="s">
        <v>28</v>
      </c>
      <c r="H372" s="2">
        <v>5</v>
      </c>
      <c r="I372" s="4">
        <v>1637</v>
      </c>
      <c r="J372" s="4">
        <v>1230</v>
      </c>
      <c r="K372" s="4">
        <f>Tablo1[[#This Row],[Quantity]]*Tablo1[[#This Row],[Unit_Price]]</f>
        <v>8185</v>
      </c>
      <c r="L372" s="4">
        <f>Tablo1[[#This Row],[Sales]]-(Tablo1[[#This Row],[Quantity]]*Tablo1[[#This Row],[Unit_Cost]])</f>
        <v>2035</v>
      </c>
    </row>
    <row r="373" spans="1:12" x14ac:dyDescent="0.3">
      <c r="A373" s="2">
        <v>1372</v>
      </c>
      <c r="B373" s="7">
        <v>45302</v>
      </c>
      <c r="C373" s="8" t="s">
        <v>74</v>
      </c>
      <c r="D373" s="2" t="s">
        <v>32</v>
      </c>
      <c r="E373" s="2" t="s">
        <v>20</v>
      </c>
      <c r="F373" s="2" t="s">
        <v>11</v>
      </c>
      <c r="G373" s="2" t="s">
        <v>12</v>
      </c>
      <c r="H373" s="2">
        <v>4</v>
      </c>
      <c r="I373" s="4">
        <v>7483</v>
      </c>
      <c r="J373" s="4">
        <v>5196</v>
      </c>
      <c r="K373" s="4">
        <f>Tablo1[[#This Row],[Quantity]]*Tablo1[[#This Row],[Unit_Price]]</f>
        <v>29932</v>
      </c>
      <c r="L373" s="4">
        <f>Tablo1[[#This Row],[Sales]]-(Tablo1[[#This Row],[Quantity]]*Tablo1[[#This Row],[Unit_Cost]])</f>
        <v>9148</v>
      </c>
    </row>
    <row r="374" spans="1:12" x14ac:dyDescent="0.3">
      <c r="A374" s="2">
        <v>1373</v>
      </c>
      <c r="B374" s="7">
        <v>45357</v>
      </c>
      <c r="C374" s="8" t="s">
        <v>77</v>
      </c>
      <c r="D374" s="2" t="s">
        <v>15</v>
      </c>
      <c r="E374" s="2" t="s">
        <v>20</v>
      </c>
      <c r="F374" s="2" t="s">
        <v>49</v>
      </c>
      <c r="G374" s="2" t="s">
        <v>12</v>
      </c>
      <c r="H374" s="2">
        <v>7</v>
      </c>
      <c r="I374" s="4">
        <v>7545</v>
      </c>
      <c r="J374" s="4">
        <v>3940</v>
      </c>
      <c r="K374" s="4">
        <f>Tablo1[[#This Row],[Quantity]]*Tablo1[[#This Row],[Unit_Price]]</f>
        <v>52815</v>
      </c>
      <c r="L374" s="4">
        <f>Tablo1[[#This Row],[Sales]]-(Tablo1[[#This Row],[Quantity]]*Tablo1[[#This Row],[Unit_Cost]])</f>
        <v>25235</v>
      </c>
    </row>
    <row r="375" spans="1:12" x14ac:dyDescent="0.3">
      <c r="A375" s="2">
        <v>1374</v>
      </c>
      <c r="B375" s="7">
        <v>45440</v>
      </c>
      <c r="C375" s="8" t="s">
        <v>75</v>
      </c>
      <c r="D375" s="2" t="s">
        <v>10</v>
      </c>
      <c r="E375" s="2" t="s">
        <v>30</v>
      </c>
      <c r="F375" s="2" t="s">
        <v>39</v>
      </c>
      <c r="G375" s="2" t="s">
        <v>28</v>
      </c>
      <c r="H375" s="2">
        <v>6</v>
      </c>
      <c r="I375" s="4">
        <v>1643</v>
      </c>
      <c r="J375" s="4">
        <v>1089</v>
      </c>
      <c r="K375" s="4">
        <f>Tablo1[[#This Row],[Quantity]]*Tablo1[[#This Row],[Unit_Price]]</f>
        <v>9858</v>
      </c>
      <c r="L375" s="4">
        <f>Tablo1[[#This Row],[Sales]]-(Tablo1[[#This Row],[Quantity]]*Tablo1[[#This Row],[Unit_Cost]])</f>
        <v>3324</v>
      </c>
    </row>
    <row r="376" spans="1:12" x14ac:dyDescent="0.3">
      <c r="A376" s="2">
        <v>1375</v>
      </c>
      <c r="B376" s="7">
        <v>45618</v>
      </c>
      <c r="C376" s="8" t="s">
        <v>76</v>
      </c>
      <c r="D376" s="2" t="s">
        <v>10</v>
      </c>
      <c r="E376" s="2" t="s">
        <v>20</v>
      </c>
      <c r="F376" s="2" t="s">
        <v>42</v>
      </c>
      <c r="G376" s="2" t="s">
        <v>12</v>
      </c>
      <c r="H376" s="2">
        <v>7</v>
      </c>
      <c r="I376" s="4">
        <v>16863</v>
      </c>
      <c r="J376" s="4">
        <v>11120</v>
      </c>
      <c r="K376" s="4">
        <f>Tablo1[[#This Row],[Quantity]]*Tablo1[[#This Row],[Unit_Price]]</f>
        <v>118041</v>
      </c>
      <c r="L376" s="4">
        <f>Tablo1[[#This Row],[Sales]]-(Tablo1[[#This Row],[Quantity]]*Tablo1[[#This Row],[Unit_Cost]])</f>
        <v>40201</v>
      </c>
    </row>
    <row r="377" spans="1:12" x14ac:dyDescent="0.3">
      <c r="A377" s="2">
        <v>1376</v>
      </c>
      <c r="B377" s="7">
        <v>45306</v>
      </c>
      <c r="C377" s="8" t="s">
        <v>75</v>
      </c>
      <c r="D377" s="2" t="s">
        <v>43</v>
      </c>
      <c r="E377" s="2" t="s">
        <v>26</v>
      </c>
      <c r="F377" s="2" t="s">
        <v>37</v>
      </c>
      <c r="G377" s="2" t="s">
        <v>28</v>
      </c>
      <c r="H377" s="2">
        <v>8</v>
      </c>
      <c r="I377" s="4">
        <v>323</v>
      </c>
      <c r="J377" s="4">
        <v>225</v>
      </c>
      <c r="K377" s="4">
        <f>Tablo1[[#This Row],[Quantity]]*Tablo1[[#This Row],[Unit_Price]]</f>
        <v>2584</v>
      </c>
      <c r="L377" s="4">
        <f>Tablo1[[#This Row],[Sales]]-(Tablo1[[#This Row],[Quantity]]*Tablo1[[#This Row],[Unit_Cost]])</f>
        <v>784</v>
      </c>
    </row>
    <row r="378" spans="1:12" x14ac:dyDescent="0.3">
      <c r="A378" s="2">
        <v>1377</v>
      </c>
      <c r="B378" s="7">
        <v>45641</v>
      </c>
      <c r="C378" s="8" t="s">
        <v>74</v>
      </c>
      <c r="D378" s="2" t="s">
        <v>19</v>
      </c>
      <c r="E378" s="2" t="s">
        <v>38</v>
      </c>
      <c r="F378" s="2" t="s">
        <v>49</v>
      </c>
      <c r="G378" s="2" t="s">
        <v>12</v>
      </c>
      <c r="H378" s="2">
        <v>6</v>
      </c>
      <c r="I378" s="4">
        <v>5210</v>
      </c>
      <c r="J378" s="4">
        <v>3494</v>
      </c>
      <c r="K378" s="4">
        <f>Tablo1[[#This Row],[Quantity]]*Tablo1[[#This Row],[Unit_Price]]</f>
        <v>31260</v>
      </c>
      <c r="L378" s="4">
        <f>Tablo1[[#This Row],[Sales]]-(Tablo1[[#This Row],[Quantity]]*Tablo1[[#This Row],[Unit_Cost]])</f>
        <v>10296</v>
      </c>
    </row>
    <row r="379" spans="1:12" x14ac:dyDescent="0.3">
      <c r="A379" s="2">
        <v>1378</v>
      </c>
      <c r="B379" s="7">
        <v>45584</v>
      </c>
      <c r="C379" s="8" t="s">
        <v>73</v>
      </c>
      <c r="D379" s="2" t="s">
        <v>22</v>
      </c>
      <c r="E379" s="2" t="s">
        <v>26</v>
      </c>
      <c r="F379" s="2" t="s">
        <v>16</v>
      </c>
      <c r="G379" s="2" t="s">
        <v>17</v>
      </c>
      <c r="H379" s="2">
        <v>9</v>
      </c>
      <c r="I379" s="4">
        <v>8114</v>
      </c>
      <c r="J379" s="4">
        <v>5757</v>
      </c>
      <c r="K379" s="4">
        <f>Tablo1[[#This Row],[Quantity]]*Tablo1[[#This Row],[Unit_Price]]</f>
        <v>73026</v>
      </c>
      <c r="L379" s="4">
        <f>Tablo1[[#This Row],[Sales]]-(Tablo1[[#This Row],[Quantity]]*Tablo1[[#This Row],[Unit_Cost]])</f>
        <v>21213</v>
      </c>
    </row>
    <row r="380" spans="1:12" x14ac:dyDescent="0.3">
      <c r="A380" s="2">
        <v>1379</v>
      </c>
      <c r="B380" s="7">
        <v>45636</v>
      </c>
      <c r="C380" s="8" t="s">
        <v>73</v>
      </c>
      <c r="D380" s="2" t="s">
        <v>44</v>
      </c>
      <c r="E380" s="2" t="s">
        <v>23</v>
      </c>
      <c r="F380" s="2" t="s">
        <v>31</v>
      </c>
      <c r="G380" s="2" t="s">
        <v>17</v>
      </c>
      <c r="H380" s="2">
        <v>6</v>
      </c>
      <c r="I380" s="4">
        <v>11486</v>
      </c>
      <c r="J380" s="4">
        <v>8883</v>
      </c>
      <c r="K380" s="4">
        <f>Tablo1[[#This Row],[Quantity]]*Tablo1[[#This Row],[Unit_Price]]</f>
        <v>68916</v>
      </c>
      <c r="L380" s="4">
        <f>Tablo1[[#This Row],[Sales]]-(Tablo1[[#This Row],[Quantity]]*Tablo1[[#This Row],[Unit_Cost]])</f>
        <v>15618</v>
      </c>
    </row>
    <row r="381" spans="1:12" x14ac:dyDescent="0.3">
      <c r="A381" s="2">
        <v>1380</v>
      </c>
      <c r="B381" s="7">
        <v>45404</v>
      </c>
      <c r="C381" s="8" t="s">
        <v>75</v>
      </c>
      <c r="D381" s="2" t="s">
        <v>15</v>
      </c>
      <c r="E381" s="2" t="s">
        <v>30</v>
      </c>
      <c r="F381" s="2" t="s">
        <v>11</v>
      </c>
      <c r="G381" s="2" t="s">
        <v>12</v>
      </c>
      <c r="H381" s="2">
        <v>7</v>
      </c>
      <c r="I381" s="4">
        <v>21660</v>
      </c>
      <c r="J381" s="4">
        <v>11936</v>
      </c>
      <c r="K381" s="4">
        <f>Tablo1[[#This Row],[Quantity]]*Tablo1[[#This Row],[Unit_Price]]</f>
        <v>151620</v>
      </c>
      <c r="L381" s="4">
        <f>Tablo1[[#This Row],[Sales]]-(Tablo1[[#This Row],[Quantity]]*Tablo1[[#This Row],[Unit_Cost]])</f>
        <v>68068</v>
      </c>
    </row>
    <row r="382" spans="1:12" x14ac:dyDescent="0.3">
      <c r="A382" s="2">
        <v>1381</v>
      </c>
      <c r="B382" s="7">
        <v>45620</v>
      </c>
      <c r="C382" s="8" t="s">
        <v>74</v>
      </c>
      <c r="D382" s="2" t="s">
        <v>13</v>
      </c>
      <c r="E382" s="2" t="s">
        <v>30</v>
      </c>
      <c r="F382" s="2" t="s">
        <v>16</v>
      </c>
      <c r="G382" s="2" t="s">
        <v>17</v>
      </c>
      <c r="H382" s="2">
        <v>10</v>
      </c>
      <c r="I382" s="4">
        <v>2993</v>
      </c>
      <c r="J382" s="4">
        <v>1652</v>
      </c>
      <c r="K382" s="4">
        <f>Tablo1[[#This Row],[Quantity]]*Tablo1[[#This Row],[Unit_Price]]</f>
        <v>29930</v>
      </c>
      <c r="L382" s="4">
        <f>Tablo1[[#This Row],[Sales]]-(Tablo1[[#This Row],[Quantity]]*Tablo1[[#This Row],[Unit_Cost]])</f>
        <v>13410</v>
      </c>
    </row>
    <row r="383" spans="1:12" x14ac:dyDescent="0.3">
      <c r="A383" s="2">
        <v>1382</v>
      </c>
      <c r="B383" s="7">
        <v>45640</v>
      </c>
      <c r="C383" s="8" t="s">
        <v>76</v>
      </c>
      <c r="D383" s="2" t="s">
        <v>41</v>
      </c>
      <c r="E383" s="2" t="s">
        <v>20</v>
      </c>
      <c r="F383" s="2" t="s">
        <v>49</v>
      </c>
      <c r="G383" s="2" t="s">
        <v>12</v>
      </c>
      <c r="H383" s="2">
        <v>1</v>
      </c>
      <c r="I383" s="4">
        <v>12645</v>
      </c>
      <c r="J383" s="4">
        <v>8171</v>
      </c>
      <c r="K383" s="4">
        <f>Tablo1[[#This Row],[Quantity]]*Tablo1[[#This Row],[Unit_Price]]</f>
        <v>12645</v>
      </c>
      <c r="L383" s="4">
        <f>Tablo1[[#This Row],[Sales]]-(Tablo1[[#This Row],[Quantity]]*Tablo1[[#This Row],[Unit_Cost]])</f>
        <v>4474</v>
      </c>
    </row>
    <row r="384" spans="1:12" x14ac:dyDescent="0.3">
      <c r="A384" s="2">
        <v>1383</v>
      </c>
      <c r="B384" s="7">
        <v>45429</v>
      </c>
      <c r="C384" s="8" t="s">
        <v>75</v>
      </c>
      <c r="D384" s="2" t="s">
        <v>19</v>
      </c>
      <c r="E384" s="2" t="s">
        <v>26</v>
      </c>
      <c r="F384" s="2" t="s">
        <v>27</v>
      </c>
      <c r="G384" s="2" t="s">
        <v>28</v>
      </c>
      <c r="H384" s="2">
        <v>7</v>
      </c>
      <c r="I384" s="4">
        <v>2609</v>
      </c>
      <c r="J384" s="4">
        <v>1806</v>
      </c>
      <c r="K384" s="4">
        <f>Tablo1[[#This Row],[Quantity]]*Tablo1[[#This Row],[Unit_Price]]</f>
        <v>18263</v>
      </c>
      <c r="L384" s="4">
        <f>Tablo1[[#This Row],[Sales]]-(Tablo1[[#This Row],[Quantity]]*Tablo1[[#This Row],[Unit_Cost]])</f>
        <v>5621</v>
      </c>
    </row>
    <row r="385" spans="1:12" x14ac:dyDescent="0.3">
      <c r="A385" s="2">
        <v>1384</v>
      </c>
      <c r="B385" s="7">
        <v>45386</v>
      </c>
      <c r="C385" s="8" t="s">
        <v>73</v>
      </c>
      <c r="D385" s="2" t="s">
        <v>32</v>
      </c>
      <c r="E385" s="2" t="s">
        <v>23</v>
      </c>
      <c r="F385" s="2" t="s">
        <v>27</v>
      </c>
      <c r="G385" s="2" t="s">
        <v>28</v>
      </c>
      <c r="H385" s="2">
        <v>9</v>
      </c>
      <c r="I385" s="4">
        <v>3479</v>
      </c>
      <c r="J385" s="4">
        <v>2341</v>
      </c>
      <c r="K385" s="4">
        <f>Tablo1[[#This Row],[Quantity]]*Tablo1[[#This Row],[Unit_Price]]</f>
        <v>31311</v>
      </c>
      <c r="L385" s="4">
        <f>Tablo1[[#This Row],[Sales]]-(Tablo1[[#This Row],[Quantity]]*Tablo1[[#This Row],[Unit_Cost]])</f>
        <v>10242</v>
      </c>
    </row>
    <row r="386" spans="1:12" x14ac:dyDescent="0.3">
      <c r="A386" s="2">
        <v>1385</v>
      </c>
      <c r="B386" s="7">
        <v>45581</v>
      </c>
      <c r="C386" s="8" t="s">
        <v>76</v>
      </c>
      <c r="D386" s="2" t="s">
        <v>41</v>
      </c>
      <c r="E386" s="2" t="s">
        <v>30</v>
      </c>
      <c r="F386" s="2" t="s">
        <v>37</v>
      </c>
      <c r="G386" s="2" t="s">
        <v>28</v>
      </c>
      <c r="H386" s="2">
        <v>9</v>
      </c>
      <c r="I386" s="4">
        <v>2254</v>
      </c>
      <c r="J386" s="4">
        <v>1698</v>
      </c>
      <c r="K386" s="4">
        <f>Tablo1[[#This Row],[Quantity]]*Tablo1[[#This Row],[Unit_Price]]</f>
        <v>20286</v>
      </c>
      <c r="L386" s="4">
        <f>Tablo1[[#This Row],[Sales]]-(Tablo1[[#This Row],[Quantity]]*Tablo1[[#This Row],[Unit_Cost]])</f>
        <v>5004</v>
      </c>
    </row>
    <row r="387" spans="1:12" x14ac:dyDescent="0.3">
      <c r="A387" s="2">
        <v>1386</v>
      </c>
      <c r="B387" s="7">
        <v>45471</v>
      </c>
      <c r="C387" s="8" t="s">
        <v>74</v>
      </c>
      <c r="D387" s="2" t="s">
        <v>32</v>
      </c>
      <c r="E387" s="2" t="s">
        <v>38</v>
      </c>
      <c r="F387" s="2" t="s">
        <v>45</v>
      </c>
      <c r="G387" s="2" t="s">
        <v>34</v>
      </c>
      <c r="H387" s="2">
        <v>3</v>
      </c>
      <c r="I387" s="4">
        <v>3558</v>
      </c>
      <c r="J387" s="4">
        <v>1845</v>
      </c>
      <c r="K387" s="4">
        <f>Tablo1[[#This Row],[Quantity]]*Tablo1[[#This Row],[Unit_Price]]</f>
        <v>10674</v>
      </c>
      <c r="L387" s="4">
        <f>Tablo1[[#This Row],[Sales]]-(Tablo1[[#This Row],[Quantity]]*Tablo1[[#This Row],[Unit_Cost]])</f>
        <v>5139</v>
      </c>
    </row>
    <row r="388" spans="1:12" x14ac:dyDescent="0.3">
      <c r="A388" s="2">
        <v>1387</v>
      </c>
      <c r="B388" s="7">
        <v>45319</v>
      </c>
      <c r="C388" s="8" t="s">
        <v>77</v>
      </c>
      <c r="D388" s="2" t="s">
        <v>44</v>
      </c>
      <c r="E388" s="2" t="s">
        <v>20</v>
      </c>
      <c r="F388" s="2" t="s">
        <v>31</v>
      </c>
      <c r="G388" s="2" t="s">
        <v>17</v>
      </c>
      <c r="H388" s="2">
        <v>1</v>
      </c>
      <c r="I388" s="4">
        <v>8406</v>
      </c>
      <c r="J388" s="4">
        <v>6715</v>
      </c>
      <c r="K388" s="4">
        <f>Tablo1[[#This Row],[Quantity]]*Tablo1[[#This Row],[Unit_Price]]</f>
        <v>8406</v>
      </c>
      <c r="L388" s="4">
        <f>Tablo1[[#This Row],[Sales]]-(Tablo1[[#This Row],[Quantity]]*Tablo1[[#This Row],[Unit_Cost]])</f>
        <v>1691</v>
      </c>
    </row>
    <row r="389" spans="1:12" x14ac:dyDescent="0.3">
      <c r="A389" s="2">
        <v>1388</v>
      </c>
      <c r="B389" s="7">
        <v>45590</v>
      </c>
      <c r="C389" s="8" t="s">
        <v>75</v>
      </c>
      <c r="D389" s="2" t="s">
        <v>41</v>
      </c>
      <c r="E389" s="2" t="s">
        <v>23</v>
      </c>
      <c r="F389" s="2" t="s">
        <v>31</v>
      </c>
      <c r="G389" s="2" t="s">
        <v>17</v>
      </c>
      <c r="H389" s="2">
        <v>9</v>
      </c>
      <c r="I389" s="4">
        <v>11277</v>
      </c>
      <c r="J389" s="4">
        <v>7262</v>
      </c>
      <c r="K389" s="4">
        <f>Tablo1[[#This Row],[Quantity]]*Tablo1[[#This Row],[Unit_Price]]</f>
        <v>101493</v>
      </c>
      <c r="L389" s="4">
        <f>Tablo1[[#This Row],[Sales]]-(Tablo1[[#This Row],[Quantity]]*Tablo1[[#This Row],[Unit_Cost]])</f>
        <v>36135</v>
      </c>
    </row>
    <row r="390" spans="1:12" x14ac:dyDescent="0.3">
      <c r="A390" s="2">
        <v>1389</v>
      </c>
      <c r="B390" s="7">
        <v>45438</v>
      </c>
      <c r="C390" s="8" t="s">
        <v>76</v>
      </c>
      <c r="D390" s="2" t="s">
        <v>15</v>
      </c>
      <c r="E390" s="2" t="s">
        <v>26</v>
      </c>
      <c r="F390" s="2" t="s">
        <v>27</v>
      </c>
      <c r="G390" s="2" t="s">
        <v>28</v>
      </c>
      <c r="H390" s="2">
        <v>1</v>
      </c>
      <c r="I390" s="4">
        <v>2234</v>
      </c>
      <c r="J390" s="4">
        <v>1422</v>
      </c>
      <c r="K390" s="4">
        <f>Tablo1[[#This Row],[Quantity]]*Tablo1[[#This Row],[Unit_Price]]</f>
        <v>2234</v>
      </c>
      <c r="L390" s="4">
        <f>Tablo1[[#This Row],[Sales]]-(Tablo1[[#This Row],[Quantity]]*Tablo1[[#This Row],[Unit_Cost]])</f>
        <v>812</v>
      </c>
    </row>
    <row r="391" spans="1:12" x14ac:dyDescent="0.3">
      <c r="A391" s="2">
        <v>1390</v>
      </c>
      <c r="B391" s="7">
        <v>45509</v>
      </c>
      <c r="C391" s="8" t="s">
        <v>75</v>
      </c>
      <c r="D391" s="2" t="s">
        <v>43</v>
      </c>
      <c r="E391" s="2" t="s">
        <v>20</v>
      </c>
      <c r="F391" s="2" t="s">
        <v>37</v>
      </c>
      <c r="G391" s="2" t="s">
        <v>28</v>
      </c>
      <c r="H391" s="2">
        <v>7</v>
      </c>
      <c r="I391" s="4">
        <v>596</v>
      </c>
      <c r="J391" s="4">
        <v>390</v>
      </c>
      <c r="K391" s="4">
        <f>Tablo1[[#This Row],[Quantity]]*Tablo1[[#This Row],[Unit_Price]]</f>
        <v>4172</v>
      </c>
      <c r="L391" s="4">
        <f>Tablo1[[#This Row],[Sales]]-(Tablo1[[#This Row],[Quantity]]*Tablo1[[#This Row],[Unit_Cost]])</f>
        <v>1442</v>
      </c>
    </row>
    <row r="392" spans="1:12" x14ac:dyDescent="0.3">
      <c r="A392" s="2">
        <v>1391</v>
      </c>
      <c r="B392" s="7">
        <v>45437</v>
      </c>
      <c r="C392" s="8" t="s">
        <v>74</v>
      </c>
      <c r="D392" s="2" t="s">
        <v>10</v>
      </c>
      <c r="E392" s="2" t="s">
        <v>30</v>
      </c>
      <c r="F392" s="2" t="s">
        <v>46</v>
      </c>
      <c r="G392" s="2" t="s">
        <v>17</v>
      </c>
      <c r="H392" s="2">
        <v>5</v>
      </c>
      <c r="I392" s="4">
        <v>8842</v>
      </c>
      <c r="J392" s="4">
        <v>4737</v>
      </c>
      <c r="K392" s="4">
        <f>Tablo1[[#This Row],[Quantity]]*Tablo1[[#This Row],[Unit_Price]]</f>
        <v>44210</v>
      </c>
      <c r="L392" s="4">
        <f>Tablo1[[#This Row],[Sales]]-(Tablo1[[#This Row],[Quantity]]*Tablo1[[#This Row],[Unit_Cost]])</f>
        <v>20525</v>
      </c>
    </row>
    <row r="393" spans="1:12" x14ac:dyDescent="0.3">
      <c r="A393" s="2">
        <v>1392</v>
      </c>
      <c r="B393" s="7">
        <v>45338</v>
      </c>
      <c r="C393" s="8" t="s">
        <v>73</v>
      </c>
      <c r="D393" s="2" t="s">
        <v>35</v>
      </c>
      <c r="E393" s="2" t="s">
        <v>20</v>
      </c>
      <c r="F393" s="2" t="s">
        <v>49</v>
      </c>
      <c r="G393" s="2" t="s">
        <v>12</v>
      </c>
      <c r="H393" s="2">
        <v>5</v>
      </c>
      <c r="I393" s="4">
        <v>10108</v>
      </c>
      <c r="J393" s="4">
        <v>7814</v>
      </c>
      <c r="K393" s="4">
        <f>Tablo1[[#This Row],[Quantity]]*Tablo1[[#This Row],[Unit_Price]]</f>
        <v>50540</v>
      </c>
      <c r="L393" s="4">
        <f>Tablo1[[#This Row],[Sales]]-(Tablo1[[#This Row],[Quantity]]*Tablo1[[#This Row],[Unit_Cost]])</f>
        <v>11470</v>
      </c>
    </row>
    <row r="394" spans="1:12" x14ac:dyDescent="0.3">
      <c r="A394" s="2">
        <v>1393</v>
      </c>
      <c r="B394" s="7">
        <v>45646</v>
      </c>
      <c r="C394" s="8" t="s">
        <v>73</v>
      </c>
      <c r="D394" s="2" t="s">
        <v>35</v>
      </c>
      <c r="E394" s="2" t="s">
        <v>20</v>
      </c>
      <c r="F394" s="2" t="s">
        <v>45</v>
      </c>
      <c r="G394" s="2" t="s">
        <v>34</v>
      </c>
      <c r="H394" s="2">
        <v>5</v>
      </c>
      <c r="I394" s="4">
        <v>3099</v>
      </c>
      <c r="J394" s="4">
        <v>2232</v>
      </c>
      <c r="K394" s="4">
        <f>Tablo1[[#This Row],[Quantity]]*Tablo1[[#This Row],[Unit_Price]]</f>
        <v>15495</v>
      </c>
      <c r="L394" s="4">
        <f>Tablo1[[#This Row],[Sales]]-(Tablo1[[#This Row],[Quantity]]*Tablo1[[#This Row],[Unit_Cost]])</f>
        <v>4335</v>
      </c>
    </row>
    <row r="395" spans="1:12" x14ac:dyDescent="0.3">
      <c r="A395" s="2">
        <v>1394</v>
      </c>
      <c r="B395" s="7">
        <v>45634</v>
      </c>
      <c r="C395" s="8" t="s">
        <v>75</v>
      </c>
      <c r="D395" s="2" t="s">
        <v>13</v>
      </c>
      <c r="E395" s="2" t="s">
        <v>23</v>
      </c>
      <c r="F395" s="2" t="s">
        <v>39</v>
      </c>
      <c r="G395" s="2" t="s">
        <v>28</v>
      </c>
      <c r="H395" s="2">
        <v>3</v>
      </c>
      <c r="I395" s="4">
        <v>3873</v>
      </c>
      <c r="J395" s="4">
        <v>2168</v>
      </c>
      <c r="K395" s="4">
        <f>Tablo1[[#This Row],[Quantity]]*Tablo1[[#This Row],[Unit_Price]]</f>
        <v>11619</v>
      </c>
      <c r="L395" s="4">
        <f>Tablo1[[#This Row],[Sales]]-(Tablo1[[#This Row],[Quantity]]*Tablo1[[#This Row],[Unit_Cost]])</f>
        <v>5115</v>
      </c>
    </row>
    <row r="396" spans="1:12" x14ac:dyDescent="0.3">
      <c r="A396" s="2">
        <v>1395</v>
      </c>
      <c r="B396" s="7">
        <v>45621</v>
      </c>
      <c r="C396" s="8" t="s">
        <v>74</v>
      </c>
      <c r="D396" s="2" t="s">
        <v>32</v>
      </c>
      <c r="E396" s="2" t="s">
        <v>23</v>
      </c>
      <c r="F396" s="2" t="s">
        <v>40</v>
      </c>
      <c r="G396" s="2" t="s">
        <v>25</v>
      </c>
      <c r="H396" s="2">
        <v>10</v>
      </c>
      <c r="I396" s="4">
        <v>2345</v>
      </c>
      <c r="J396" s="4">
        <v>1358</v>
      </c>
      <c r="K396" s="4">
        <f>Tablo1[[#This Row],[Quantity]]*Tablo1[[#This Row],[Unit_Price]]</f>
        <v>23450</v>
      </c>
      <c r="L396" s="4">
        <f>Tablo1[[#This Row],[Sales]]-(Tablo1[[#This Row],[Quantity]]*Tablo1[[#This Row],[Unit_Cost]])</f>
        <v>9870</v>
      </c>
    </row>
    <row r="397" spans="1:12" x14ac:dyDescent="0.3">
      <c r="A397" s="2">
        <v>1396</v>
      </c>
      <c r="B397" s="7">
        <v>45626</v>
      </c>
      <c r="C397" s="8" t="s">
        <v>76</v>
      </c>
      <c r="D397" s="2" t="s">
        <v>43</v>
      </c>
      <c r="E397" s="2" t="s">
        <v>26</v>
      </c>
      <c r="F397" s="2" t="s">
        <v>49</v>
      </c>
      <c r="G397" s="2" t="s">
        <v>12</v>
      </c>
      <c r="H397" s="2">
        <v>4</v>
      </c>
      <c r="I397" s="4">
        <v>17479</v>
      </c>
      <c r="J397" s="4">
        <v>12390</v>
      </c>
      <c r="K397" s="4">
        <f>Tablo1[[#This Row],[Quantity]]*Tablo1[[#This Row],[Unit_Price]]</f>
        <v>69916</v>
      </c>
      <c r="L397" s="4">
        <f>Tablo1[[#This Row],[Sales]]-(Tablo1[[#This Row],[Quantity]]*Tablo1[[#This Row],[Unit_Cost]])</f>
        <v>20356</v>
      </c>
    </row>
    <row r="398" spans="1:12" x14ac:dyDescent="0.3">
      <c r="A398" s="2">
        <v>1397</v>
      </c>
      <c r="B398" s="7">
        <v>45326</v>
      </c>
      <c r="C398" s="8" t="s">
        <v>75</v>
      </c>
      <c r="D398" s="2" t="s">
        <v>22</v>
      </c>
      <c r="E398" s="2" t="s">
        <v>30</v>
      </c>
      <c r="F398" s="2" t="s">
        <v>45</v>
      </c>
      <c r="G398" s="2" t="s">
        <v>34</v>
      </c>
      <c r="H398" s="2">
        <v>7</v>
      </c>
      <c r="I398" s="4">
        <v>5959</v>
      </c>
      <c r="J398" s="4">
        <v>4466</v>
      </c>
      <c r="K398" s="4">
        <f>Tablo1[[#This Row],[Quantity]]*Tablo1[[#This Row],[Unit_Price]]</f>
        <v>41713</v>
      </c>
      <c r="L398" s="4">
        <f>Tablo1[[#This Row],[Sales]]-(Tablo1[[#This Row],[Quantity]]*Tablo1[[#This Row],[Unit_Cost]])</f>
        <v>10451</v>
      </c>
    </row>
    <row r="399" spans="1:12" x14ac:dyDescent="0.3">
      <c r="A399" s="2">
        <v>1398</v>
      </c>
      <c r="B399" s="7">
        <v>45310</v>
      </c>
      <c r="C399" s="8" t="s">
        <v>73</v>
      </c>
      <c r="D399" s="2" t="s">
        <v>10</v>
      </c>
      <c r="E399" s="2" t="s">
        <v>23</v>
      </c>
      <c r="F399" s="2" t="s">
        <v>21</v>
      </c>
      <c r="G399" s="2" t="s">
        <v>17</v>
      </c>
      <c r="H399" s="2">
        <v>2</v>
      </c>
      <c r="I399" s="4">
        <v>10626</v>
      </c>
      <c r="J399" s="4">
        <v>7384</v>
      </c>
      <c r="K399" s="4">
        <f>Tablo1[[#This Row],[Quantity]]*Tablo1[[#This Row],[Unit_Price]]</f>
        <v>21252</v>
      </c>
      <c r="L399" s="4">
        <f>Tablo1[[#This Row],[Sales]]-(Tablo1[[#This Row],[Quantity]]*Tablo1[[#This Row],[Unit_Cost]])</f>
        <v>6484</v>
      </c>
    </row>
    <row r="400" spans="1:12" x14ac:dyDescent="0.3">
      <c r="A400" s="2">
        <v>1399</v>
      </c>
      <c r="B400" s="7">
        <v>45356</v>
      </c>
      <c r="C400" s="8" t="s">
        <v>76</v>
      </c>
      <c r="D400" s="2" t="s">
        <v>35</v>
      </c>
      <c r="E400" s="2" t="s">
        <v>26</v>
      </c>
      <c r="F400" s="2" t="s">
        <v>29</v>
      </c>
      <c r="G400" s="2" t="s">
        <v>25</v>
      </c>
      <c r="H400" s="2">
        <v>3</v>
      </c>
      <c r="I400" s="4">
        <v>7360</v>
      </c>
      <c r="J400" s="4">
        <v>4028</v>
      </c>
      <c r="K400" s="4">
        <f>Tablo1[[#This Row],[Quantity]]*Tablo1[[#This Row],[Unit_Price]]</f>
        <v>22080</v>
      </c>
      <c r="L400" s="4">
        <f>Tablo1[[#This Row],[Sales]]-(Tablo1[[#This Row],[Quantity]]*Tablo1[[#This Row],[Unit_Cost]])</f>
        <v>9996</v>
      </c>
    </row>
    <row r="401" spans="1:12" x14ac:dyDescent="0.3">
      <c r="A401" s="2">
        <v>1400</v>
      </c>
      <c r="B401" s="7">
        <v>45469</v>
      </c>
      <c r="C401" s="8" t="s">
        <v>74</v>
      </c>
      <c r="D401" s="2" t="s">
        <v>15</v>
      </c>
      <c r="E401" s="2" t="s">
        <v>38</v>
      </c>
      <c r="F401" s="2" t="s">
        <v>16</v>
      </c>
      <c r="G401" s="2" t="s">
        <v>17</v>
      </c>
      <c r="H401" s="2">
        <v>3</v>
      </c>
      <c r="I401" s="4">
        <v>4037</v>
      </c>
      <c r="J401" s="4">
        <v>2704</v>
      </c>
      <c r="K401" s="4">
        <f>Tablo1[[#This Row],[Quantity]]*Tablo1[[#This Row],[Unit_Price]]</f>
        <v>12111</v>
      </c>
      <c r="L401" s="4">
        <f>Tablo1[[#This Row],[Sales]]-(Tablo1[[#This Row],[Quantity]]*Tablo1[[#This Row],[Unit_Cost]])</f>
        <v>3999</v>
      </c>
    </row>
    <row r="402" spans="1:12" x14ac:dyDescent="0.3">
      <c r="A402" s="2">
        <v>1401</v>
      </c>
      <c r="B402" s="7">
        <v>45330</v>
      </c>
      <c r="C402" s="8" t="s">
        <v>77</v>
      </c>
      <c r="D402" s="2" t="s">
        <v>35</v>
      </c>
      <c r="E402" s="2" t="s">
        <v>20</v>
      </c>
      <c r="F402" s="2" t="s">
        <v>36</v>
      </c>
      <c r="G402" s="2" t="s">
        <v>34</v>
      </c>
      <c r="H402" s="2">
        <v>8</v>
      </c>
      <c r="I402" s="4">
        <v>4530</v>
      </c>
      <c r="J402" s="4">
        <v>3600</v>
      </c>
      <c r="K402" s="4">
        <f>Tablo1[[#This Row],[Quantity]]*Tablo1[[#This Row],[Unit_Price]]</f>
        <v>36240</v>
      </c>
      <c r="L402" s="4">
        <f>Tablo1[[#This Row],[Sales]]-(Tablo1[[#This Row],[Quantity]]*Tablo1[[#This Row],[Unit_Cost]])</f>
        <v>7440</v>
      </c>
    </row>
    <row r="403" spans="1:12" x14ac:dyDescent="0.3">
      <c r="A403" s="2">
        <v>1402</v>
      </c>
      <c r="B403" s="7">
        <v>45630</v>
      </c>
      <c r="C403" s="8" t="s">
        <v>75</v>
      </c>
      <c r="D403" s="2" t="s">
        <v>32</v>
      </c>
      <c r="E403" s="2" t="s">
        <v>23</v>
      </c>
      <c r="F403" s="2" t="s">
        <v>31</v>
      </c>
      <c r="G403" s="2" t="s">
        <v>17</v>
      </c>
      <c r="H403" s="2">
        <v>6</v>
      </c>
      <c r="I403" s="4">
        <v>2038</v>
      </c>
      <c r="J403" s="4">
        <v>1525</v>
      </c>
      <c r="K403" s="4">
        <f>Tablo1[[#This Row],[Quantity]]*Tablo1[[#This Row],[Unit_Price]]</f>
        <v>12228</v>
      </c>
      <c r="L403" s="4">
        <f>Tablo1[[#This Row],[Sales]]-(Tablo1[[#This Row],[Quantity]]*Tablo1[[#This Row],[Unit_Cost]])</f>
        <v>3078</v>
      </c>
    </row>
    <row r="404" spans="1:12" x14ac:dyDescent="0.3">
      <c r="A404" s="2">
        <v>1403</v>
      </c>
      <c r="B404" s="7">
        <v>45606</v>
      </c>
      <c r="C404" s="8" t="s">
        <v>76</v>
      </c>
      <c r="D404" s="2" t="s">
        <v>43</v>
      </c>
      <c r="E404" s="2" t="s">
        <v>38</v>
      </c>
      <c r="F404" s="2" t="s">
        <v>29</v>
      </c>
      <c r="G404" s="2" t="s">
        <v>25</v>
      </c>
      <c r="H404" s="2">
        <v>8</v>
      </c>
      <c r="I404" s="4">
        <v>5073</v>
      </c>
      <c r="J404" s="4">
        <v>2941</v>
      </c>
      <c r="K404" s="4">
        <f>Tablo1[[#This Row],[Quantity]]*Tablo1[[#This Row],[Unit_Price]]</f>
        <v>40584</v>
      </c>
      <c r="L404" s="4">
        <f>Tablo1[[#This Row],[Sales]]-(Tablo1[[#This Row],[Quantity]]*Tablo1[[#This Row],[Unit_Cost]])</f>
        <v>17056</v>
      </c>
    </row>
    <row r="405" spans="1:12" x14ac:dyDescent="0.3">
      <c r="A405" s="2">
        <v>1404</v>
      </c>
      <c r="B405" s="7">
        <v>45384</v>
      </c>
      <c r="C405" s="8" t="s">
        <v>75</v>
      </c>
      <c r="D405" s="2" t="s">
        <v>44</v>
      </c>
      <c r="E405" s="2" t="s">
        <v>26</v>
      </c>
      <c r="F405" s="2" t="s">
        <v>42</v>
      </c>
      <c r="G405" s="2" t="s">
        <v>12</v>
      </c>
      <c r="H405" s="2">
        <v>5</v>
      </c>
      <c r="I405" s="4">
        <v>18807</v>
      </c>
      <c r="J405" s="4">
        <v>12176</v>
      </c>
      <c r="K405" s="4">
        <f>Tablo1[[#This Row],[Quantity]]*Tablo1[[#This Row],[Unit_Price]]</f>
        <v>94035</v>
      </c>
      <c r="L405" s="4">
        <f>Tablo1[[#This Row],[Sales]]-(Tablo1[[#This Row],[Quantity]]*Tablo1[[#This Row],[Unit_Cost]])</f>
        <v>33155</v>
      </c>
    </row>
    <row r="406" spans="1:12" x14ac:dyDescent="0.3">
      <c r="A406" s="2">
        <v>1405</v>
      </c>
      <c r="B406" s="7">
        <v>45397</v>
      </c>
      <c r="C406" s="8" t="s">
        <v>74</v>
      </c>
      <c r="D406" s="2" t="s">
        <v>22</v>
      </c>
      <c r="E406" s="2" t="s">
        <v>20</v>
      </c>
      <c r="F406" s="2" t="s">
        <v>24</v>
      </c>
      <c r="G406" s="2" t="s">
        <v>25</v>
      </c>
      <c r="H406" s="2">
        <v>4</v>
      </c>
      <c r="I406" s="4">
        <v>1301</v>
      </c>
      <c r="J406" s="4">
        <v>857</v>
      </c>
      <c r="K406" s="4">
        <f>Tablo1[[#This Row],[Quantity]]*Tablo1[[#This Row],[Unit_Price]]</f>
        <v>5204</v>
      </c>
      <c r="L406" s="4">
        <f>Tablo1[[#This Row],[Sales]]-(Tablo1[[#This Row],[Quantity]]*Tablo1[[#This Row],[Unit_Cost]])</f>
        <v>1776</v>
      </c>
    </row>
    <row r="407" spans="1:12" x14ac:dyDescent="0.3">
      <c r="A407" s="2">
        <v>1406</v>
      </c>
      <c r="B407" s="7">
        <v>45523</v>
      </c>
      <c r="C407" s="8" t="s">
        <v>73</v>
      </c>
      <c r="D407" s="2" t="s">
        <v>44</v>
      </c>
      <c r="E407" s="2" t="s">
        <v>26</v>
      </c>
      <c r="F407" s="2" t="s">
        <v>29</v>
      </c>
      <c r="G407" s="2" t="s">
        <v>25</v>
      </c>
      <c r="H407" s="2">
        <v>6</v>
      </c>
      <c r="I407" s="4">
        <v>3053</v>
      </c>
      <c r="J407" s="4">
        <v>2154</v>
      </c>
      <c r="K407" s="4">
        <f>Tablo1[[#This Row],[Quantity]]*Tablo1[[#This Row],[Unit_Price]]</f>
        <v>18318</v>
      </c>
      <c r="L407" s="4">
        <f>Tablo1[[#This Row],[Sales]]-(Tablo1[[#This Row],[Quantity]]*Tablo1[[#This Row],[Unit_Cost]])</f>
        <v>5394</v>
      </c>
    </row>
    <row r="408" spans="1:12" x14ac:dyDescent="0.3">
      <c r="A408" s="2">
        <v>1407</v>
      </c>
      <c r="B408" s="7">
        <v>45487</v>
      </c>
      <c r="C408" s="8" t="s">
        <v>73</v>
      </c>
      <c r="D408" s="2" t="s">
        <v>35</v>
      </c>
      <c r="E408" s="2" t="s">
        <v>26</v>
      </c>
      <c r="F408" s="2" t="s">
        <v>45</v>
      </c>
      <c r="G408" s="2" t="s">
        <v>34</v>
      </c>
      <c r="H408" s="2">
        <v>3</v>
      </c>
      <c r="I408" s="4">
        <v>1166</v>
      </c>
      <c r="J408" s="4">
        <v>776</v>
      </c>
      <c r="K408" s="4">
        <f>Tablo1[[#This Row],[Quantity]]*Tablo1[[#This Row],[Unit_Price]]</f>
        <v>3498</v>
      </c>
      <c r="L408" s="4">
        <f>Tablo1[[#This Row],[Sales]]-(Tablo1[[#This Row],[Quantity]]*Tablo1[[#This Row],[Unit_Cost]])</f>
        <v>1170</v>
      </c>
    </row>
    <row r="409" spans="1:12" x14ac:dyDescent="0.3">
      <c r="A409" s="2">
        <v>1408</v>
      </c>
      <c r="B409" s="7">
        <v>45392</v>
      </c>
      <c r="C409" s="8" t="s">
        <v>75</v>
      </c>
      <c r="D409" s="2" t="s">
        <v>22</v>
      </c>
      <c r="E409" s="2" t="s">
        <v>26</v>
      </c>
      <c r="F409" s="2" t="s">
        <v>29</v>
      </c>
      <c r="G409" s="2" t="s">
        <v>25</v>
      </c>
      <c r="H409" s="2">
        <v>9</v>
      </c>
      <c r="I409" s="4">
        <v>5489</v>
      </c>
      <c r="J409" s="4">
        <v>3536</v>
      </c>
      <c r="K409" s="4">
        <f>Tablo1[[#This Row],[Quantity]]*Tablo1[[#This Row],[Unit_Price]]</f>
        <v>49401</v>
      </c>
      <c r="L409" s="4">
        <f>Tablo1[[#This Row],[Sales]]-(Tablo1[[#This Row],[Quantity]]*Tablo1[[#This Row],[Unit_Cost]])</f>
        <v>17577</v>
      </c>
    </row>
    <row r="410" spans="1:12" x14ac:dyDescent="0.3">
      <c r="A410" s="2">
        <v>1409</v>
      </c>
      <c r="B410" s="7">
        <v>45431</v>
      </c>
      <c r="C410" s="8" t="s">
        <v>74</v>
      </c>
      <c r="D410" s="2" t="s">
        <v>43</v>
      </c>
      <c r="E410" s="2" t="s">
        <v>20</v>
      </c>
      <c r="F410" s="2" t="s">
        <v>27</v>
      </c>
      <c r="G410" s="2" t="s">
        <v>28</v>
      </c>
      <c r="H410" s="2">
        <v>3</v>
      </c>
      <c r="I410" s="4">
        <v>534</v>
      </c>
      <c r="J410" s="4">
        <v>299</v>
      </c>
      <c r="K410" s="4">
        <f>Tablo1[[#This Row],[Quantity]]*Tablo1[[#This Row],[Unit_Price]]</f>
        <v>1602</v>
      </c>
      <c r="L410" s="4">
        <f>Tablo1[[#This Row],[Sales]]-(Tablo1[[#This Row],[Quantity]]*Tablo1[[#This Row],[Unit_Cost]])</f>
        <v>705</v>
      </c>
    </row>
    <row r="411" spans="1:12" x14ac:dyDescent="0.3">
      <c r="A411" s="2">
        <v>1410</v>
      </c>
      <c r="B411" s="7">
        <v>45577</v>
      </c>
      <c r="C411" s="8" t="s">
        <v>76</v>
      </c>
      <c r="D411" s="2" t="s">
        <v>22</v>
      </c>
      <c r="E411" s="2" t="s">
        <v>23</v>
      </c>
      <c r="F411" s="2" t="s">
        <v>46</v>
      </c>
      <c r="G411" s="2" t="s">
        <v>17</v>
      </c>
      <c r="H411" s="2">
        <v>7</v>
      </c>
      <c r="I411" s="4">
        <v>11633</v>
      </c>
      <c r="J411" s="4">
        <v>9062</v>
      </c>
      <c r="K411" s="4">
        <f>Tablo1[[#This Row],[Quantity]]*Tablo1[[#This Row],[Unit_Price]]</f>
        <v>81431</v>
      </c>
      <c r="L411" s="4">
        <f>Tablo1[[#This Row],[Sales]]-(Tablo1[[#This Row],[Quantity]]*Tablo1[[#This Row],[Unit_Cost]])</f>
        <v>17997</v>
      </c>
    </row>
    <row r="412" spans="1:12" x14ac:dyDescent="0.3">
      <c r="A412" s="2">
        <v>1411</v>
      </c>
      <c r="B412" s="7">
        <v>45575</v>
      </c>
      <c r="C412" s="8" t="s">
        <v>75</v>
      </c>
      <c r="D412" s="2" t="s">
        <v>10</v>
      </c>
      <c r="E412" s="2" t="s">
        <v>30</v>
      </c>
      <c r="F412" s="2" t="s">
        <v>46</v>
      </c>
      <c r="G412" s="2" t="s">
        <v>17</v>
      </c>
      <c r="H412" s="2">
        <v>5</v>
      </c>
      <c r="I412" s="4">
        <v>8737</v>
      </c>
      <c r="J412" s="4">
        <v>6964</v>
      </c>
      <c r="K412" s="4">
        <f>Tablo1[[#This Row],[Quantity]]*Tablo1[[#This Row],[Unit_Price]]</f>
        <v>43685</v>
      </c>
      <c r="L412" s="4">
        <f>Tablo1[[#This Row],[Sales]]-(Tablo1[[#This Row],[Quantity]]*Tablo1[[#This Row],[Unit_Cost]])</f>
        <v>8865</v>
      </c>
    </row>
    <row r="413" spans="1:12" x14ac:dyDescent="0.3">
      <c r="A413" s="2">
        <v>1412</v>
      </c>
      <c r="B413" s="7">
        <v>45334</v>
      </c>
      <c r="C413" s="8" t="s">
        <v>73</v>
      </c>
      <c r="D413" s="2" t="s">
        <v>15</v>
      </c>
      <c r="E413" s="2" t="s">
        <v>20</v>
      </c>
      <c r="F413" s="2" t="s">
        <v>21</v>
      </c>
      <c r="G413" s="2" t="s">
        <v>17</v>
      </c>
      <c r="H413" s="2">
        <v>8</v>
      </c>
      <c r="I413" s="4">
        <v>3298</v>
      </c>
      <c r="J413" s="4">
        <v>2220</v>
      </c>
      <c r="K413" s="4">
        <f>Tablo1[[#This Row],[Quantity]]*Tablo1[[#This Row],[Unit_Price]]</f>
        <v>26384</v>
      </c>
      <c r="L413" s="4">
        <f>Tablo1[[#This Row],[Sales]]-(Tablo1[[#This Row],[Quantity]]*Tablo1[[#This Row],[Unit_Cost]])</f>
        <v>8624</v>
      </c>
    </row>
    <row r="414" spans="1:12" x14ac:dyDescent="0.3">
      <c r="A414" s="2">
        <v>1413</v>
      </c>
      <c r="B414" s="7">
        <v>45523</v>
      </c>
      <c r="C414" s="8" t="s">
        <v>76</v>
      </c>
      <c r="D414" s="2" t="s">
        <v>19</v>
      </c>
      <c r="E414" s="2" t="s">
        <v>26</v>
      </c>
      <c r="F414" s="2" t="s">
        <v>11</v>
      </c>
      <c r="G414" s="2" t="s">
        <v>12</v>
      </c>
      <c r="H414" s="2">
        <v>5</v>
      </c>
      <c r="I414" s="4">
        <v>22770</v>
      </c>
      <c r="J414" s="4">
        <v>12630</v>
      </c>
      <c r="K414" s="4">
        <f>Tablo1[[#This Row],[Quantity]]*Tablo1[[#This Row],[Unit_Price]]</f>
        <v>113850</v>
      </c>
      <c r="L414" s="4">
        <f>Tablo1[[#This Row],[Sales]]-(Tablo1[[#This Row],[Quantity]]*Tablo1[[#This Row],[Unit_Cost]])</f>
        <v>50700</v>
      </c>
    </row>
    <row r="415" spans="1:12" x14ac:dyDescent="0.3">
      <c r="A415" s="2">
        <v>1414</v>
      </c>
      <c r="B415" s="7">
        <v>45642</v>
      </c>
      <c r="C415" s="8" t="s">
        <v>74</v>
      </c>
      <c r="D415" s="2" t="s">
        <v>43</v>
      </c>
      <c r="E415" s="2" t="s">
        <v>30</v>
      </c>
      <c r="F415" s="2" t="s">
        <v>16</v>
      </c>
      <c r="G415" s="2" t="s">
        <v>17</v>
      </c>
      <c r="H415" s="2">
        <v>2</v>
      </c>
      <c r="I415" s="4">
        <v>6400</v>
      </c>
      <c r="J415" s="4">
        <v>3993</v>
      </c>
      <c r="K415" s="4">
        <f>Tablo1[[#This Row],[Quantity]]*Tablo1[[#This Row],[Unit_Price]]</f>
        <v>12800</v>
      </c>
      <c r="L415" s="4">
        <f>Tablo1[[#This Row],[Sales]]-(Tablo1[[#This Row],[Quantity]]*Tablo1[[#This Row],[Unit_Cost]])</f>
        <v>4814</v>
      </c>
    </row>
    <row r="416" spans="1:12" x14ac:dyDescent="0.3">
      <c r="A416" s="2">
        <v>1415</v>
      </c>
      <c r="B416" s="7">
        <v>45509</v>
      </c>
      <c r="C416" s="8" t="s">
        <v>77</v>
      </c>
      <c r="D416" s="2" t="s">
        <v>44</v>
      </c>
      <c r="E416" s="2" t="s">
        <v>30</v>
      </c>
      <c r="F416" s="2" t="s">
        <v>29</v>
      </c>
      <c r="G416" s="2" t="s">
        <v>25</v>
      </c>
      <c r="H416" s="2">
        <v>9</v>
      </c>
      <c r="I416" s="4">
        <v>7470</v>
      </c>
      <c r="J416" s="4">
        <v>4889</v>
      </c>
      <c r="K416" s="4">
        <f>Tablo1[[#This Row],[Quantity]]*Tablo1[[#This Row],[Unit_Price]]</f>
        <v>67230</v>
      </c>
      <c r="L416" s="4">
        <f>Tablo1[[#This Row],[Sales]]-(Tablo1[[#This Row],[Quantity]]*Tablo1[[#This Row],[Unit_Cost]])</f>
        <v>23229</v>
      </c>
    </row>
    <row r="417" spans="1:12" x14ac:dyDescent="0.3">
      <c r="A417" s="2">
        <v>1416</v>
      </c>
      <c r="B417" s="7">
        <v>45639</v>
      </c>
      <c r="C417" s="8" t="s">
        <v>75</v>
      </c>
      <c r="D417" s="2" t="s">
        <v>19</v>
      </c>
      <c r="E417" s="2" t="s">
        <v>23</v>
      </c>
      <c r="F417" s="2" t="s">
        <v>50</v>
      </c>
      <c r="G417" s="2" t="s">
        <v>28</v>
      </c>
      <c r="H417" s="2">
        <v>7</v>
      </c>
      <c r="I417" s="4">
        <v>960</v>
      </c>
      <c r="J417" s="4">
        <v>747</v>
      </c>
      <c r="K417" s="4">
        <f>Tablo1[[#This Row],[Quantity]]*Tablo1[[#This Row],[Unit_Price]]</f>
        <v>6720</v>
      </c>
      <c r="L417" s="4">
        <f>Tablo1[[#This Row],[Sales]]-(Tablo1[[#This Row],[Quantity]]*Tablo1[[#This Row],[Unit_Cost]])</f>
        <v>1491</v>
      </c>
    </row>
    <row r="418" spans="1:12" x14ac:dyDescent="0.3">
      <c r="A418" s="2">
        <v>1417</v>
      </c>
      <c r="B418" s="7">
        <v>45453</v>
      </c>
      <c r="C418" s="8" t="s">
        <v>76</v>
      </c>
      <c r="D418" s="2" t="s">
        <v>35</v>
      </c>
      <c r="E418" s="2" t="s">
        <v>20</v>
      </c>
      <c r="F418" s="2" t="s">
        <v>29</v>
      </c>
      <c r="G418" s="2" t="s">
        <v>25</v>
      </c>
      <c r="H418" s="2">
        <v>5</v>
      </c>
      <c r="I418" s="4">
        <v>3666</v>
      </c>
      <c r="J418" s="4">
        <v>2343</v>
      </c>
      <c r="K418" s="4">
        <f>Tablo1[[#This Row],[Quantity]]*Tablo1[[#This Row],[Unit_Price]]</f>
        <v>18330</v>
      </c>
      <c r="L418" s="4">
        <f>Tablo1[[#This Row],[Sales]]-(Tablo1[[#This Row],[Quantity]]*Tablo1[[#This Row],[Unit_Cost]])</f>
        <v>6615</v>
      </c>
    </row>
    <row r="419" spans="1:12" x14ac:dyDescent="0.3">
      <c r="A419" s="2">
        <v>1418</v>
      </c>
      <c r="B419" s="7">
        <v>45330</v>
      </c>
      <c r="C419" s="8" t="s">
        <v>75</v>
      </c>
      <c r="D419" s="2" t="s">
        <v>10</v>
      </c>
      <c r="E419" s="2" t="s">
        <v>26</v>
      </c>
      <c r="F419" s="2" t="s">
        <v>16</v>
      </c>
      <c r="G419" s="2" t="s">
        <v>17</v>
      </c>
      <c r="H419" s="2">
        <v>6</v>
      </c>
      <c r="I419" s="4">
        <v>10210</v>
      </c>
      <c r="J419" s="4">
        <v>5655</v>
      </c>
      <c r="K419" s="4">
        <f>Tablo1[[#This Row],[Quantity]]*Tablo1[[#This Row],[Unit_Price]]</f>
        <v>61260</v>
      </c>
      <c r="L419" s="4">
        <f>Tablo1[[#This Row],[Sales]]-(Tablo1[[#This Row],[Quantity]]*Tablo1[[#This Row],[Unit_Cost]])</f>
        <v>27330</v>
      </c>
    </row>
    <row r="420" spans="1:12" x14ac:dyDescent="0.3">
      <c r="A420" s="2">
        <v>1419</v>
      </c>
      <c r="B420" s="7">
        <v>45310</v>
      </c>
      <c r="C420" s="8" t="s">
        <v>74</v>
      </c>
      <c r="D420" s="2" t="s">
        <v>10</v>
      </c>
      <c r="E420" s="2" t="s">
        <v>38</v>
      </c>
      <c r="F420" s="2" t="s">
        <v>16</v>
      </c>
      <c r="G420" s="2" t="s">
        <v>17</v>
      </c>
      <c r="H420" s="2">
        <v>6</v>
      </c>
      <c r="I420" s="4">
        <v>3033</v>
      </c>
      <c r="J420" s="4">
        <v>1764</v>
      </c>
      <c r="K420" s="4">
        <f>Tablo1[[#This Row],[Quantity]]*Tablo1[[#This Row],[Unit_Price]]</f>
        <v>18198</v>
      </c>
      <c r="L420" s="4">
        <f>Tablo1[[#This Row],[Sales]]-(Tablo1[[#This Row],[Quantity]]*Tablo1[[#This Row],[Unit_Cost]])</f>
        <v>7614</v>
      </c>
    </row>
    <row r="421" spans="1:12" x14ac:dyDescent="0.3">
      <c r="A421" s="2">
        <v>1420</v>
      </c>
      <c r="B421" s="7">
        <v>45511</v>
      </c>
      <c r="C421" s="8" t="s">
        <v>73</v>
      </c>
      <c r="D421" s="2" t="s">
        <v>41</v>
      </c>
      <c r="E421" s="2" t="s">
        <v>23</v>
      </c>
      <c r="F421" s="2" t="s">
        <v>14</v>
      </c>
      <c r="G421" s="2" t="s">
        <v>12</v>
      </c>
      <c r="H421" s="2">
        <v>6</v>
      </c>
      <c r="I421" s="4">
        <v>18295</v>
      </c>
      <c r="J421" s="4">
        <v>12358</v>
      </c>
      <c r="K421" s="4">
        <f>Tablo1[[#This Row],[Quantity]]*Tablo1[[#This Row],[Unit_Price]]</f>
        <v>109770</v>
      </c>
      <c r="L421" s="4">
        <f>Tablo1[[#This Row],[Sales]]-(Tablo1[[#This Row],[Quantity]]*Tablo1[[#This Row],[Unit_Cost]])</f>
        <v>35622</v>
      </c>
    </row>
    <row r="422" spans="1:12" x14ac:dyDescent="0.3">
      <c r="A422" s="2">
        <v>1421</v>
      </c>
      <c r="B422" s="7">
        <v>45352</v>
      </c>
      <c r="C422" s="8" t="s">
        <v>73</v>
      </c>
      <c r="D422" s="2" t="s">
        <v>35</v>
      </c>
      <c r="E422" s="2" t="s">
        <v>26</v>
      </c>
      <c r="F422" s="2" t="s">
        <v>40</v>
      </c>
      <c r="G422" s="2" t="s">
        <v>25</v>
      </c>
      <c r="H422" s="2">
        <v>9</v>
      </c>
      <c r="I422" s="4">
        <v>4502</v>
      </c>
      <c r="J422" s="4">
        <v>3422</v>
      </c>
      <c r="K422" s="4">
        <f>Tablo1[[#This Row],[Quantity]]*Tablo1[[#This Row],[Unit_Price]]</f>
        <v>40518</v>
      </c>
      <c r="L422" s="4">
        <f>Tablo1[[#This Row],[Sales]]-(Tablo1[[#This Row],[Quantity]]*Tablo1[[#This Row],[Unit_Cost]])</f>
        <v>9720</v>
      </c>
    </row>
    <row r="423" spans="1:12" x14ac:dyDescent="0.3">
      <c r="A423" s="2">
        <v>1422</v>
      </c>
      <c r="B423" s="7">
        <v>45454</v>
      </c>
      <c r="C423" s="8" t="s">
        <v>75</v>
      </c>
      <c r="D423" s="2" t="s">
        <v>35</v>
      </c>
      <c r="E423" s="2" t="s">
        <v>38</v>
      </c>
      <c r="F423" s="2" t="s">
        <v>49</v>
      </c>
      <c r="G423" s="2" t="s">
        <v>12</v>
      </c>
      <c r="H423" s="2">
        <v>8</v>
      </c>
      <c r="I423" s="4">
        <v>13091</v>
      </c>
      <c r="J423" s="4">
        <v>8513</v>
      </c>
      <c r="K423" s="4">
        <f>Tablo1[[#This Row],[Quantity]]*Tablo1[[#This Row],[Unit_Price]]</f>
        <v>104728</v>
      </c>
      <c r="L423" s="4">
        <f>Tablo1[[#This Row],[Sales]]-(Tablo1[[#This Row],[Quantity]]*Tablo1[[#This Row],[Unit_Cost]])</f>
        <v>36624</v>
      </c>
    </row>
    <row r="424" spans="1:12" x14ac:dyDescent="0.3">
      <c r="A424" s="2">
        <v>1423</v>
      </c>
      <c r="B424" s="7">
        <v>45627</v>
      </c>
      <c r="C424" s="8" t="s">
        <v>74</v>
      </c>
      <c r="D424" s="2" t="s">
        <v>22</v>
      </c>
      <c r="E424" s="2" t="s">
        <v>38</v>
      </c>
      <c r="F424" s="2" t="s">
        <v>27</v>
      </c>
      <c r="G424" s="2" t="s">
        <v>28</v>
      </c>
      <c r="H424" s="2">
        <v>6</v>
      </c>
      <c r="I424" s="4">
        <v>931</v>
      </c>
      <c r="J424" s="4">
        <v>689</v>
      </c>
      <c r="K424" s="4">
        <f>Tablo1[[#This Row],[Quantity]]*Tablo1[[#This Row],[Unit_Price]]</f>
        <v>5586</v>
      </c>
      <c r="L424" s="4">
        <f>Tablo1[[#This Row],[Sales]]-(Tablo1[[#This Row],[Quantity]]*Tablo1[[#This Row],[Unit_Cost]])</f>
        <v>1452</v>
      </c>
    </row>
    <row r="425" spans="1:12" x14ac:dyDescent="0.3">
      <c r="A425" s="2">
        <v>1424</v>
      </c>
      <c r="B425" s="7">
        <v>45619</v>
      </c>
      <c r="C425" s="8" t="s">
        <v>76</v>
      </c>
      <c r="D425" s="2" t="s">
        <v>32</v>
      </c>
      <c r="E425" s="2" t="s">
        <v>30</v>
      </c>
      <c r="F425" s="2" t="s">
        <v>40</v>
      </c>
      <c r="G425" s="2" t="s">
        <v>25</v>
      </c>
      <c r="H425" s="2">
        <v>10</v>
      </c>
      <c r="I425" s="4">
        <v>7755</v>
      </c>
      <c r="J425" s="4">
        <v>5866</v>
      </c>
      <c r="K425" s="4">
        <f>Tablo1[[#This Row],[Quantity]]*Tablo1[[#This Row],[Unit_Price]]</f>
        <v>77550</v>
      </c>
      <c r="L425" s="4">
        <f>Tablo1[[#This Row],[Sales]]-(Tablo1[[#This Row],[Quantity]]*Tablo1[[#This Row],[Unit_Cost]])</f>
        <v>18890</v>
      </c>
    </row>
    <row r="426" spans="1:12" x14ac:dyDescent="0.3">
      <c r="A426" s="2">
        <v>1425</v>
      </c>
      <c r="B426" s="7">
        <v>45459</v>
      </c>
      <c r="C426" s="8" t="s">
        <v>75</v>
      </c>
      <c r="D426" s="2" t="s">
        <v>41</v>
      </c>
      <c r="E426" s="2" t="s">
        <v>30</v>
      </c>
      <c r="F426" s="2" t="s">
        <v>27</v>
      </c>
      <c r="G426" s="2" t="s">
        <v>28</v>
      </c>
      <c r="H426" s="2">
        <v>9</v>
      </c>
      <c r="I426" s="4">
        <v>1757</v>
      </c>
      <c r="J426" s="4">
        <v>1007</v>
      </c>
      <c r="K426" s="4">
        <f>Tablo1[[#This Row],[Quantity]]*Tablo1[[#This Row],[Unit_Price]]</f>
        <v>15813</v>
      </c>
      <c r="L426" s="4">
        <f>Tablo1[[#This Row],[Sales]]-(Tablo1[[#This Row],[Quantity]]*Tablo1[[#This Row],[Unit_Cost]])</f>
        <v>6750</v>
      </c>
    </row>
    <row r="427" spans="1:12" x14ac:dyDescent="0.3">
      <c r="A427" s="2">
        <v>1426</v>
      </c>
      <c r="B427" s="7">
        <v>45494</v>
      </c>
      <c r="C427" s="8" t="s">
        <v>73</v>
      </c>
      <c r="D427" s="2" t="s">
        <v>13</v>
      </c>
      <c r="E427" s="2" t="s">
        <v>30</v>
      </c>
      <c r="F427" s="2" t="s">
        <v>16</v>
      </c>
      <c r="G427" s="2" t="s">
        <v>17</v>
      </c>
      <c r="H427" s="2">
        <v>4</v>
      </c>
      <c r="I427" s="4">
        <v>4685</v>
      </c>
      <c r="J427" s="4">
        <v>3189</v>
      </c>
      <c r="K427" s="4">
        <f>Tablo1[[#This Row],[Quantity]]*Tablo1[[#This Row],[Unit_Price]]</f>
        <v>18740</v>
      </c>
      <c r="L427" s="4">
        <f>Tablo1[[#This Row],[Sales]]-(Tablo1[[#This Row],[Quantity]]*Tablo1[[#This Row],[Unit_Cost]])</f>
        <v>5984</v>
      </c>
    </row>
    <row r="428" spans="1:12" x14ac:dyDescent="0.3">
      <c r="A428" s="2">
        <v>1427</v>
      </c>
      <c r="B428" s="7">
        <v>45335</v>
      </c>
      <c r="C428" s="8" t="s">
        <v>76</v>
      </c>
      <c r="D428" s="2" t="s">
        <v>22</v>
      </c>
      <c r="E428" s="2" t="s">
        <v>20</v>
      </c>
      <c r="F428" s="2" t="s">
        <v>33</v>
      </c>
      <c r="G428" s="2" t="s">
        <v>34</v>
      </c>
      <c r="H428" s="2">
        <v>5</v>
      </c>
      <c r="I428" s="4">
        <v>1821</v>
      </c>
      <c r="J428" s="4">
        <v>1424</v>
      </c>
      <c r="K428" s="4">
        <f>Tablo1[[#This Row],[Quantity]]*Tablo1[[#This Row],[Unit_Price]]</f>
        <v>9105</v>
      </c>
      <c r="L428" s="4">
        <f>Tablo1[[#This Row],[Sales]]-(Tablo1[[#This Row],[Quantity]]*Tablo1[[#This Row],[Unit_Cost]])</f>
        <v>1985</v>
      </c>
    </row>
    <row r="429" spans="1:12" x14ac:dyDescent="0.3">
      <c r="A429" s="2">
        <v>1428</v>
      </c>
      <c r="B429" s="7">
        <v>45292</v>
      </c>
      <c r="C429" s="8" t="s">
        <v>74</v>
      </c>
      <c r="D429" s="2" t="s">
        <v>19</v>
      </c>
      <c r="E429" s="2" t="s">
        <v>26</v>
      </c>
      <c r="F429" s="2" t="s">
        <v>47</v>
      </c>
      <c r="G429" s="2" t="s">
        <v>25</v>
      </c>
      <c r="H429" s="2">
        <v>4</v>
      </c>
      <c r="I429" s="4">
        <v>3225</v>
      </c>
      <c r="J429" s="4">
        <v>2497</v>
      </c>
      <c r="K429" s="4">
        <f>Tablo1[[#This Row],[Quantity]]*Tablo1[[#This Row],[Unit_Price]]</f>
        <v>12900</v>
      </c>
      <c r="L429" s="4">
        <f>Tablo1[[#This Row],[Sales]]-(Tablo1[[#This Row],[Quantity]]*Tablo1[[#This Row],[Unit_Cost]])</f>
        <v>2912</v>
      </c>
    </row>
    <row r="430" spans="1:12" x14ac:dyDescent="0.3">
      <c r="A430" s="2">
        <v>1429</v>
      </c>
      <c r="B430" s="7">
        <v>45532</v>
      </c>
      <c r="C430" s="8" t="s">
        <v>77</v>
      </c>
      <c r="D430" s="2" t="s">
        <v>41</v>
      </c>
      <c r="E430" s="2" t="s">
        <v>23</v>
      </c>
      <c r="F430" s="2" t="s">
        <v>14</v>
      </c>
      <c r="G430" s="2" t="s">
        <v>12</v>
      </c>
      <c r="H430" s="2">
        <v>3</v>
      </c>
      <c r="I430" s="4">
        <v>18706</v>
      </c>
      <c r="J430" s="4">
        <v>10074</v>
      </c>
      <c r="K430" s="4">
        <f>Tablo1[[#This Row],[Quantity]]*Tablo1[[#This Row],[Unit_Price]]</f>
        <v>56118</v>
      </c>
      <c r="L430" s="4">
        <f>Tablo1[[#This Row],[Sales]]-(Tablo1[[#This Row],[Quantity]]*Tablo1[[#This Row],[Unit_Cost]])</f>
        <v>25896</v>
      </c>
    </row>
    <row r="431" spans="1:12" x14ac:dyDescent="0.3">
      <c r="A431" s="2">
        <v>1430</v>
      </c>
      <c r="B431" s="7">
        <v>45511</v>
      </c>
      <c r="C431" s="8" t="s">
        <v>75</v>
      </c>
      <c r="D431" s="2" t="s">
        <v>41</v>
      </c>
      <c r="E431" s="2" t="s">
        <v>30</v>
      </c>
      <c r="F431" s="2" t="s">
        <v>40</v>
      </c>
      <c r="G431" s="2" t="s">
        <v>25</v>
      </c>
      <c r="H431" s="2">
        <v>9</v>
      </c>
      <c r="I431" s="4">
        <v>3807</v>
      </c>
      <c r="J431" s="4">
        <v>2612</v>
      </c>
      <c r="K431" s="4">
        <f>Tablo1[[#This Row],[Quantity]]*Tablo1[[#This Row],[Unit_Price]]</f>
        <v>34263</v>
      </c>
      <c r="L431" s="4">
        <f>Tablo1[[#This Row],[Sales]]-(Tablo1[[#This Row],[Quantity]]*Tablo1[[#This Row],[Unit_Cost]])</f>
        <v>10755</v>
      </c>
    </row>
    <row r="432" spans="1:12" x14ac:dyDescent="0.3">
      <c r="A432" s="2">
        <v>1431</v>
      </c>
      <c r="B432" s="7">
        <v>45495</v>
      </c>
      <c r="C432" s="8" t="s">
        <v>76</v>
      </c>
      <c r="D432" s="2" t="s">
        <v>43</v>
      </c>
      <c r="E432" s="2" t="s">
        <v>26</v>
      </c>
      <c r="F432" s="2" t="s">
        <v>49</v>
      </c>
      <c r="G432" s="2" t="s">
        <v>12</v>
      </c>
      <c r="H432" s="2">
        <v>8</v>
      </c>
      <c r="I432" s="4">
        <v>13140</v>
      </c>
      <c r="J432" s="4">
        <v>9184</v>
      </c>
      <c r="K432" s="4">
        <f>Tablo1[[#This Row],[Quantity]]*Tablo1[[#This Row],[Unit_Price]]</f>
        <v>105120</v>
      </c>
      <c r="L432" s="4">
        <f>Tablo1[[#This Row],[Sales]]-(Tablo1[[#This Row],[Quantity]]*Tablo1[[#This Row],[Unit_Cost]])</f>
        <v>31648</v>
      </c>
    </row>
    <row r="433" spans="1:12" x14ac:dyDescent="0.3">
      <c r="A433" s="2">
        <v>1432</v>
      </c>
      <c r="B433" s="7">
        <v>45499</v>
      </c>
      <c r="C433" s="8" t="s">
        <v>75</v>
      </c>
      <c r="D433" s="2" t="s">
        <v>22</v>
      </c>
      <c r="E433" s="2" t="s">
        <v>30</v>
      </c>
      <c r="F433" s="2" t="s">
        <v>47</v>
      </c>
      <c r="G433" s="2" t="s">
        <v>25</v>
      </c>
      <c r="H433" s="2">
        <v>4</v>
      </c>
      <c r="I433" s="4">
        <v>4038</v>
      </c>
      <c r="J433" s="4">
        <v>2385</v>
      </c>
      <c r="K433" s="4">
        <f>Tablo1[[#This Row],[Quantity]]*Tablo1[[#This Row],[Unit_Price]]</f>
        <v>16152</v>
      </c>
      <c r="L433" s="4">
        <f>Tablo1[[#This Row],[Sales]]-(Tablo1[[#This Row],[Quantity]]*Tablo1[[#This Row],[Unit_Cost]])</f>
        <v>6612</v>
      </c>
    </row>
    <row r="434" spans="1:12" x14ac:dyDescent="0.3">
      <c r="A434" s="2">
        <v>1433</v>
      </c>
      <c r="B434" s="7">
        <v>45379</v>
      </c>
      <c r="C434" s="8" t="s">
        <v>74</v>
      </c>
      <c r="D434" s="2" t="s">
        <v>19</v>
      </c>
      <c r="E434" s="2" t="s">
        <v>23</v>
      </c>
      <c r="F434" s="2" t="s">
        <v>45</v>
      </c>
      <c r="G434" s="2" t="s">
        <v>34</v>
      </c>
      <c r="H434" s="2">
        <v>4</v>
      </c>
      <c r="I434" s="4">
        <v>4399</v>
      </c>
      <c r="J434" s="4">
        <v>2348</v>
      </c>
      <c r="K434" s="4">
        <f>Tablo1[[#This Row],[Quantity]]*Tablo1[[#This Row],[Unit_Price]]</f>
        <v>17596</v>
      </c>
      <c r="L434" s="4">
        <f>Tablo1[[#This Row],[Sales]]-(Tablo1[[#This Row],[Quantity]]*Tablo1[[#This Row],[Unit_Cost]])</f>
        <v>8204</v>
      </c>
    </row>
    <row r="435" spans="1:12" x14ac:dyDescent="0.3">
      <c r="A435" s="2">
        <v>1434</v>
      </c>
      <c r="B435" s="7">
        <v>45534</v>
      </c>
      <c r="C435" s="8" t="s">
        <v>73</v>
      </c>
      <c r="D435" s="2" t="s">
        <v>10</v>
      </c>
      <c r="E435" s="2" t="s">
        <v>30</v>
      </c>
      <c r="F435" s="2" t="s">
        <v>39</v>
      </c>
      <c r="G435" s="2" t="s">
        <v>28</v>
      </c>
      <c r="H435" s="2">
        <v>4</v>
      </c>
      <c r="I435" s="4">
        <v>3815</v>
      </c>
      <c r="J435" s="4">
        <v>2169</v>
      </c>
      <c r="K435" s="4">
        <f>Tablo1[[#This Row],[Quantity]]*Tablo1[[#This Row],[Unit_Price]]</f>
        <v>15260</v>
      </c>
      <c r="L435" s="4">
        <f>Tablo1[[#This Row],[Sales]]-(Tablo1[[#This Row],[Quantity]]*Tablo1[[#This Row],[Unit_Cost]])</f>
        <v>6584</v>
      </c>
    </row>
    <row r="436" spans="1:12" x14ac:dyDescent="0.3">
      <c r="A436" s="2">
        <v>1435</v>
      </c>
      <c r="B436" s="7">
        <v>45374</v>
      </c>
      <c r="C436" s="8" t="s">
        <v>73</v>
      </c>
      <c r="D436" s="2" t="s">
        <v>10</v>
      </c>
      <c r="E436" s="2" t="s">
        <v>20</v>
      </c>
      <c r="F436" s="2" t="s">
        <v>24</v>
      </c>
      <c r="G436" s="2" t="s">
        <v>25</v>
      </c>
      <c r="H436" s="2">
        <v>1</v>
      </c>
      <c r="I436" s="4">
        <v>7936</v>
      </c>
      <c r="J436" s="4">
        <v>5415</v>
      </c>
      <c r="K436" s="4">
        <f>Tablo1[[#This Row],[Quantity]]*Tablo1[[#This Row],[Unit_Price]]</f>
        <v>7936</v>
      </c>
      <c r="L436" s="4">
        <f>Tablo1[[#This Row],[Sales]]-(Tablo1[[#This Row],[Quantity]]*Tablo1[[#This Row],[Unit_Cost]])</f>
        <v>2521</v>
      </c>
    </row>
    <row r="437" spans="1:12" x14ac:dyDescent="0.3">
      <c r="A437" s="2">
        <v>1436</v>
      </c>
      <c r="B437" s="7">
        <v>45420</v>
      </c>
      <c r="C437" s="8" t="s">
        <v>75</v>
      </c>
      <c r="D437" s="2" t="s">
        <v>44</v>
      </c>
      <c r="E437" s="2" t="s">
        <v>30</v>
      </c>
      <c r="F437" s="2" t="s">
        <v>33</v>
      </c>
      <c r="G437" s="2" t="s">
        <v>34</v>
      </c>
      <c r="H437" s="2">
        <v>9</v>
      </c>
      <c r="I437" s="4">
        <v>5415</v>
      </c>
      <c r="J437" s="4">
        <v>3588</v>
      </c>
      <c r="K437" s="4">
        <f>Tablo1[[#This Row],[Quantity]]*Tablo1[[#This Row],[Unit_Price]]</f>
        <v>48735</v>
      </c>
      <c r="L437" s="4">
        <f>Tablo1[[#This Row],[Sales]]-(Tablo1[[#This Row],[Quantity]]*Tablo1[[#This Row],[Unit_Cost]])</f>
        <v>16443</v>
      </c>
    </row>
    <row r="438" spans="1:12" x14ac:dyDescent="0.3">
      <c r="A438" s="2">
        <v>1437</v>
      </c>
      <c r="B438" s="7">
        <v>45654</v>
      </c>
      <c r="C438" s="8" t="s">
        <v>74</v>
      </c>
      <c r="D438" s="2" t="s">
        <v>19</v>
      </c>
      <c r="E438" s="2" t="s">
        <v>26</v>
      </c>
      <c r="F438" s="2" t="s">
        <v>16</v>
      </c>
      <c r="G438" s="2" t="s">
        <v>17</v>
      </c>
      <c r="H438" s="2">
        <v>1</v>
      </c>
      <c r="I438" s="4">
        <v>2762</v>
      </c>
      <c r="J438" s="4">
        <v>1382</v>
      </c>
      <c r="K438" s="4">
        <f>Tablo1[[#This Row],[Quantity]]*Tablo1[[#This Row],[Unit_Price]]</f>
        <v>2762</v>
      </c>
      <c r="L438" s="4">
        <f>Tablo1[[#This Row],[Sales]]-(Tablo1[[#This Row],[Quantity]]*Tablo1[[#This Row],[Unit_Cost]])</f>
        <v>1380</v>
      </c>
    </row>
    <row r="439" spans="1:12" x14ac:dyDescent="0.3">
      <c r="A439" s="2">
        <v>1438</v>
      </c>
      <c r="B439" s="7">
        <v>45565</v>
      </c>
      <c r="C439" s="8" t="s">
        <v>76</v>
      </c>
      <c r="D439" s="2" t="s">
        <v>19</v>
      </c>
      <c r="E439" s="2" t="s">
        <v>26</v>
      </c>
      <c r="F439" s="2" t="s">
        <v>36</v>
      </c>
      <c r="G439" s="2" t="s">
        <v>34</v>
      </c>
      <c r="H439" s="2">
        <v>3</v>
      </c>
      <c r="I439" s="4">
        <v>3692</v>
      </c>
      <c r="J439" s="4">
        <v>2090</v>
      </c>
      <c r="K439" s="4">
        <f>Tablo1[[#This Row],[Quantity]]*Tablo1[[#This Row],[Unit_Price]]</f>
        <v>11076</v>
      </c>
      <c r="L439" s="4">
        <f>Tablo1[[#This Row],[Sales]]-(Tablo1[[#This Row],[Quantity]]*Tablo1[[#This Row],[Unit_Cost]])</f>
        <v>4806</v>
      </c>
    </row>
    <row r="440" spans="1:12" x14ac:dyDescent="0.3">
      <c r="A440" s="2">
        <v>1439</v>
      </c>
      <c r="B440" s="7">
        <v>45541</v>
      </c>
      <c r="C440" s="8" t="s">
        <v>75</v>
      </c>
      <c r="D440" s="2" t="s">
        <v>10</v>
      </c>
      <c r="E440" s="2" t="s">
        <v>23</v>
      </c>
      <c r="F440" s="2" t="s">
        <v>11</v>
      </c>
      <c r="G440" s="2" t="s">
        <v>12</v>
      </c>
      <c r="H440" s="2">
        <v>7</v>
      </c>
      <c r="I440" s="4">
        <v>12642</v>
      </c>
      <c r="J440" s="4">
        <v>7822</v>
      </c>
      <c r="K440" s="4">
        <f>Tablo1[[#This Row],[Quantity]]*Tablo1[[#This Row],[Unit_Price]]</f>
        <v>88494</v>
      </c>
      <c r="L440" s="4">
        <f>Tablo1[[#This Row],[Sales]]-(Tablo1[[#This Row],[Quantity]]*Tablo1[[#This Row],[Unit_Cost]])</f>
        <v>33740</v>
      </c>
    </row>
    <row r="441" spans="1:12" x14ac:dyDescent="0.3">
      <c r="A441" s="2">
        <v>1440</v>
      </c>
      <c r="B441" s="7">
        <v>45606</v>
      </c>
      <c r="C441" s="8" t="s">
        <v>73</v>
      </c>
      <c r="D441" s="2" t="s">
        <v>10</v>
      </c>
      <c r="E441" s="2" t="s">
        <v>30</v>
      </c>
      <c r="F441" s="2" t="s">
        <v>37</v>
      </c>
      <c r="G441" s="2" t="s">
        <v>28</v>
      </c>
      <c r="H441" s="2">
        <v>8</v>
      </c>
      <c r="I441" s="4">
        <v>3382</v>
      </c>
      <c r="J441" s="4">
        <v>2587</v>
      </c>
      <c r="K441" s="4">
        <f>Tablo1[[#This Row],[Quantity]]*Tablo1[[#This Row],[Unit_Price]]</f>
        <v>27056</v>
      </c>
      <c r="L441" s="4">
        <f>Tablo1[[#This Row],[Sales]]-(Tablo1[[#This Row],[Quantity]]*Tablo1[[#This Row],[Unit_Cost]])</f>
        <v>6360</v>
      </c>
    </row>
    <row r="442" spans="1:12" x14ac:dyDescent="0.3">
      <c r="A442" s="2">
        <v>1441</v>
      </c>
      <c r="B442" s="7">
        <v>45392</v>
      </c>
      <c r="C442" s="8" t="s">
        <v>76</v>
      </c>
      <c r="D442" s="2" t="s">
        <v>22</v>
      </c>
      <c r="E442" s="2" t="s">
        <v>38</v>
      </c>
      <c r="F442" s="2" t="s">
        <v>37</v>
      </c>
      <c r="G442" s="2" t="s">
        <v>28</v>
      </c>
      <c r="H442" s="2">
        <v>7</v>
      </c>
      <c r="I442" s="4">
        <v>3405</v>
      </c>
      <c r="J442" s="4">
        <v>1750</v>
      </c>
      <c r="K442" s="4">
        <f>Tablo1[[#This Row],[Quantity]]*Tablo1[[#This Row],[Unit_Price]]</f>
        <v>23835</v>
      </c>
      <c r="L442" s="4">
        <f>Tablo1[[#This Row],[Sales]]-(Tablo1[[#This Row],[Quantity]]*Tablo1[[#This Row],[Unit_Cost]])</f>
        <v>11585</v>
      </c>
    </row>
    <row r="443" spans="1:12" x14ac:dyDescent="0.3">
      <c r="A443" s="2">
        <v>1442</v>
      </c>
      <c r="B443" s="7">
        <v>45601</v>
      </c>
      <c r="C443" s="8" t="s">
        <v>74</v>
      </c>
      <c r="D443" s="2" t="s">
        <v>22</v>
      </c>
      <c r="E443" s="2" t="s">
        <v>20</v>
      </c>
      <c r="F443" s="2" t="s">
        <v>24</v>
      </c>
      <c r="G443" s="2" t="s">
        <v>25</v>
      </c>
      <c r="H443" s="2">
        <v>7</v>
      </c>
      <c r="I443" s="4">
        <v>1569</v>
      </c>
      <c r="J443" s="4">
        <v>1213</v>
      </c>
      <c r="K443" s="4">
        <f>Tablo1[[#This Row],[Quantity]]*Tablo1[[#This Row],[Unit_Price]]</f>
        <v>10983</v>
      </c>
      <c r="L443" s="4">
        <f>Tablo1[[#This Row],[Sales]]-(Tablo1[[#This Row],[Quantity]]*Tablo1[[#This Row],[Unit_Cost]])</f>
        <v>2492</v>
      </c>
    </row>
    <row r="444" spans="1:12" x14ac:dyDescent="0.3">
      <c r="A444" s="2">
        <v>1443</v>
      </c>
      <c r="B444" s="7">
        <v>45402</v>
      </c>
      <c r="C444" s="8" t="s">
        <v>77</v>
      </c>
      <c r="D444" s="2" t="s">
        <v>15</v>
      </c>
      <c r="E444" s="2" t="s">
        <v>23</v>
      </c>
      <c r="F444" s="2" t="s">
        <v>29</v>
      </c>
      <c r="G444" s="2" t="s">
        <v>25</v>
      </c>
      <c r="H444" s="2">
        <v>2</v>
      </c>
      <c r="I444" s="4">
        <v>7890</v>
      </c>
      <c r="J444" s="4">
        <v>4372</v>
      </c>
      <c r="K444" s="4">
        <f>Tablo1[[#This Row],[Quantity]]*Tablo1[[#This Row],[Unit_Price]]</f>
        <v>15780</v>
      </c>
      <c r="L444" s="4">
        <f>Tablo1[[#This Row],[Sales]]-(Tablo1[[#This Row],[Quantity]]*Tablo1[[#This Row],[Unit_Cost]])</f>
        <v>7036</v>
      </c>
    </row>
    <row r="445" spans="1:12" x14ac:dyDescent="0.3">
      <c r="A445" s="2">
        <v>1444</v>
      </c>
      <c r="B445" s="7">
        <v>45475</v>
      </c>
      <c r="C445" s="8" t="s">
        <v>75</v>
      </c>
      <c r="D445" s="2" t="s">
        <v>43</v>
      </c>
      <c r="E445" s="2" t="s">
        <v>38</v>
      </c>
      <c r="F445" s="2" t="s">
        <v>24</v>
      </c>
      <c r="G445" s="2" t="s">
        <v>25</v>
      </c>
      <c r="H445" s="2">
        <v>6</v>
      </c>
      <c r="I445" s="4">
        <v>1558</v>
      </c>
      <c r="J445" s="4">
        <v>1121</v>
      </c>
      <c r="K445" s="4">
        <f>Tablo1[[#This Row],[Quantity]]*Tablo1[[#This Row],[Unit_Price]]</f>
        <v>9348</v>
      </c>
      <c r="L445" s="4">
        <f>Tablo1[[#This Row],[Sales]]-(Tablo1[[#This Row],[Quantity]]*Tablo1[[#This Row],[Unit_Cost]])</f>
        <v>2622</v>
      </c>
    </row>
    <row r="446" spans="1:12" x14ac:dyDescent="0.3">
      <c r="A446" s="2">
        <v>1445</v>
      </c>
      <c r="B446" s="7">
        <v>45444</v>
      </c>
      <c r="C446" s="8" t="s">
        <v>76</v>
      </c>
      <c r="D446" s="2" t="s">
        <v>22</v>
      </c>
      <c r="E446" s="2" t="s">
        <v>30</v>
      </c>
      <c r="F446" s="2" t="s">
        <v>49</v>
      </c>
      <c r="G446" s="2" t="s">
        <v>12</v>
      </c>
      <c r="H446" s="2">
        <v>3</v>
      </c>
      <c r="I446" s="4">
        <v>23869</v>
      </c>
      <c r="J446" s="4">
        <v>12594</v>
      </c>
      <c r="K446" s="4">
        <f>Tablo1[[#This Row],[Quantity]]*Tablo1[[#This Row],[Unit_Price]]</f>
        <v>71607</v>
      </c>
      <c r="L446" s="4">
        <f>Tablo1[[#This Row],[Sales]]-(Tablo1[[#This Row],[Quantity]]*Tablo1[[#This Row],[Unit_Cost]])</f>
        <v>33825</v>
      </c>
    </row>
    <row r="447" spans="1:12" x14ac:dyDescent="0.3">
      <c r="A447" s="2">
        <v>1446</v>
      </c>
      <c r="B447" s="7">
        <v>45449</v>
      </c>
      <c r="C447" s="8" t="s">
        <v>75</v>
      </c>
      <c r="D447" s="2" t="s">
        <v>35</v>
      </c>
      <c r="E447" s="2" t="s">
        <v>23</v>
      </c>
      <c r="F447" s="2" t="s">
        <v>42</v>
      </c>
      <c r="G447" s="2" t="s">
        <v>12</v>
      </c>
      <c r="H447" s="2">
        <v>7</v>
      </c>
      <c r="I447" s="4">
        <v>22709</v>
      </c>
      <c r="J447" s="4">
        <v>18090</v>
      </c>
      <c r="K447" s="4">
        <f>Tablo1[[#This Row],[Quantity]]*Tablo1[[#This Row],[Unit_Price]]</f>
        <v>158963</v>
      </c>
      <c r="L447" s="4">
        <f>Tablo1[[#This Row],[Sales]]-(Tablo1[[#This Row],[Quantity]]*Tablo1[[#This Row],[Unit_Cost]])</f>
        <v>32333</v>
      </c>
    </row>
    <row r="448" spans="1:12" x14ac:dyDescent="0.3">
      <c r="A448" s="2">
        <v>1447</v>
      </c>
      <c r="B448" s="7">
        <v>45360</v>
      </c>
      <c r="C448" s="8" t="s">
        <v>74</v>
      </c>
      <c r="D448" s="2" t="s">
        <v>43</v>
      </c>
      <c r="E448" s="2" t="s">
        <v>38</v>
      </c>
      <c r="F448" s="2" t="s">
        <v>39</v>
      </c>
      <c r="G448" s="2" t="s">
        <v>28</v>
      </c>
      <c r="H448" s="2">
        <v>7</v>
      </c>
      <c r="I448" s="4">
        <v>1941</v>
      </c>
      <c r="J448" s="4">
        <v>1234</v>
      </c>
      <c r="K448" s="4">
        <f>Tablo1[[#This Row],[Quantity]]*Tablo1[[#This Row],[Unit_Price]]</f>
        <v>13587</v>
      </c>
      <c r="L448" s="4">
        <f>Tablo1[[#This Row],[Sales]]-(Tablo1[[#This Row],[Quantity]]*Tablo1[[#This Row],[Unit_Cost]])</f>
        <v>4949</v>
      </c>
    </row>
    <row r="449" spans="1:12" x14ac:dyDescent="0.3">
      <c r="A449" s="2">
        <v>1448</v>
      </c>
      <c r="B449" s="7">
        <v>45457</v>
      </c>
      <c r="C449" s="8" t="s">
        <v>73</v>
      </c>
      <c r="D449" s="2" t="s">
        <v>10</v>
      </c>
      <c r="E449" s="2" t="s">
        <v>20</v>
      </c>
      <c r="F449" s="2" t="s">
        <v>29</v>
      </c>
      <c r="G449" s="2" t="s">
        <v>25</v>
      </c>
      <c r="H449" s="2">
        <v>10</v>
      </c>
      <c r="I449" s="4">
        <v>2017</v>
      </c>
      <c r="J449" s="4">
        <v>1120</v>
      </c>
      <c r="K449" s="4">
        <f>Tablo1[[#This Row],[Quantity]]*Tablo1[[#This Row],[Unit_Price]]</f>
        <v>20170</v>
      </c>
      <c r="L449" s="4">
        <f>Tablo1[[#This Row],[Sales]]-(Tablo1[[#This Row],[Quantity]]*Tablo1[[#This Row],[Unit_Cost]])</f>
        <v>8970</v>
      </c>
    </row>
    <row r="450" spans="1:12" x14ac:dyDescent="0.3">
      <c r="A450" s="2">
        <v>1449</v>
      </c>
      <c r="B450" s="7">
        <v>45464</v>
      </c>
      <c r="C450" s="8" t="s">
        <v>73</v>
      </c>
      <c r="D450" s="2" t="s">
        <v>10</v>
      </c>
      <c r="E450" s="2" t="s">
        <v>38</v>
      </c>
      <c r="F450" s="2" t="s">
        <v>50</v>
      </c>
      <c r="G450" s="2" t="s">
        <v>28</v>
      </c>
      <c r="H450" s="2">
        <v>10</v>
      </c>
      <c r="I450" s="4">
        <v>1906</v>
      </c>
      <c r="J450" s="4">
        <v>989</v>
      </c>
      <c r="K450" s="4">
        <f>Tablo1[[#This Row],[Quantity]]*Tablo1[[#This Row],[Unit_Price]]</f>
        <v>19060</v>
      </c>
      <c r="L450" s="4">
        <f>Tablo1[[#This Row],[Sales]]-(Tablo1[[#This Row],[Quantity]]*Tablo1[[#This Row],[Unit_Cost]])</f>
        <v>9170</v>
      </c>
    </row>
    <row r="451" spans="1:12" x14ac:dyDescent="0.3">
      <c r="A451" s="2">
        <v>1450</v>
      </c>
      <c r="B451" s="7">
        <v>45324</v>
      </c>
      <c r="C451" s="8" t="s">
        <v>75</v>
      </c>
      <c r="D451" s="2" t="s">
        <v>41</v>
      </c>
      <c r="E451" s="2" t="s">
        <v>30</v>
      </c>
      <c r="F451" s="2" t="s">
        <v>14</v>
      </c>
      <c r="G451" s="2" t="s">
        <v>12</v>
      </c>
      <c r="H451" s="2">
        <v>7</v>
      </c>
      <c r="I451" s="4">
        <v>16830</v>
      </c>
      <c r="J451" s="4">
        <v>10365</v>
      </c>
      <c r="K451" s="4">
        <f>Tablo1[[#This Row],[Quantity]]*Tablo1[[#This Row],[Unit_Price]]</f>
        <v>117810</v>
      </c>
      <c r="L451" s="4">
        <f>Tablo1[[#This Row],[Sales]]-(Tablo1[[#This Row],[Quantity]]*Tablo1[[#This Row],[Unit_Cost]])</f>
        <v>45255</v>
      </c>
    </row>
    <row r="452" spans="1:12" x14ac:dyDescent="0.3">
      <c r="A452" s="2">
        <v>1451</v>
      </c>
      <c r="B452" s="7">
        <v>45318</v>
      </c>
      <c r="C452" s="8" t="s">
        <v>74</v>
      </c>
      <c r="D452" s="2" t="s">
        <v>22</v>
      </c>
      <c r="E452" s="2" t="s">
        <v>20</v>
      </c>
      <c r="F452" s="2" t="s">
        <v>40</v>
      </c>
      <c r="G452" s="2" t="s">
        <v>25</v>
      </c>
      <c r="H452" s="2">
        <v>7</v>
      </c>
      <c r="I452" s="4">
        <v>2258</v>
      </c>
      <c r="J452" s="4">
        <v>1277</v>
      </c>
      <c r="K452" s="4">
        <f>Tablo1[[#This Row],[Quantity]]*Tablo1[[#This Row],[Unit_Price]]</f>
        <v>15806</v>
      </c>
      <c r="L452" s="4">
        <f>Tablo1[[#This Row],[Sales]]-(Tablo1[[#This Row],[Quantity]]*Tablo1[[#This Row],[Unit_Cost]])</f>
        <v>6867</v>
      </c>
    </row>
    <row r="453" spans="1:12" x14ac:dyDescent="0.3">
      <c r="A453" s="2">
        <v>1452</v>
      </c>
      <c r="B453" s="7">
        <v>45305</v>
      </c>
      <c r="C453" s="8" t="s">
        <v>76</v>
      </c>
      <c r="D453" s="2" t="s">
        <v>35</v>
      </c>
      <c r="E453" s="2" t="s">
        <v>26</v>
      </c>
      <c r="F453" s="2" t="s">
        <v>39</v>
      </c>
      <c r="G453" s="2" t="s">
        <v>28</v>
      </c>
      <c r="H453" s="2">
        <v>7</v>
      </c>
      <c r="I453" s="4">
        <v>1977</v>
      </c>
      <c r="J453" s="4">
        <v>1446</v>
      </c>
      <c r="K453" s="4">
        <f>Tablo1[[#This Row],[Quantity]]*Tablo1[[#This Row],[Unit_Price]]</f>
        <v>13839</v>
      </c>
      <c r="L453" s="4">
        <f>Tablo1[[#This Row],[Sales]]-(Tablo1[[#This Row],[Quantity]]*Tablo1[[#This Row],[Unit_Cost]])</f>
        <v>3717</v>
      </c>
    </row>
    <row r="454" spans="1:12" x14ac:dyDescent="0.3">
      <c r="A454" s="2">
        <v>1453</v>
      </c>
      <c r="B454" s="7">
        <v>45496</v>
      </c>
      <c r="C454" s="8" t="s">
        <v>75</v>
      </c>
      <c r="D454" s="2" t="s">
        <v>43</v>
      </c>
      <c r="E454" s="2" t="s">
        <v>20</v>
      </c>
      <c r="F454" s="2" t="s">
        <v>14</v>
      </c>
      <c r="G454" s="2" t="s">
        <v>12</v>
      </c>
      <c r="H454" s="2">
        <v>6</v>
      </c>
      <c r="I454" s="4">
        <v>5340</v>
      </c>
      <c r="J454" s="4">
        <v>3033</v>
      </c>
      <c r="K454" s="4">
        <f>Tablo1[[#This Row],[Quantity]]*Tablo1[[#This Row],[Unit_Price]]</f>
        <v>32040</v>
      </c>
      <c r="L454" s="4">
        <f>Tablo1[[#This Row],[Sales]]-(Tablo1[[#This Row],[Quantity]]*Tablo1[[#This Row],[Unit_Cost]])</f>
        <v>13842</v>
      </c>
    </row>
    <row r="455" spans="1:12" x14ac:dyDescent="0.3">
      <c r="A455" s="2">
        <v>1454</v>
      </c>
      <c r="B455" s="7">
        <v>45611</v>
      </c>
      <c r="C455" s="8" t="s">
        <v>73</v>
      </c>
      <c r="D455" s="2" t="s">
        <v>13</v>
      </c>
      <c r="E455" s="2" t="s">
        <v>23</v>
      </c>
      <c r="F455" s="2" t="s">
        <v>46</v>
      </c>
      <c r="G455" s="2" t="s">
        <v>17</v>
      </c>
      <c r="H455" s="2">
        <v>4</v>
      </c>
      <c r="I455" s="4">
        <v>10195</v>
      </c>
      <c r="J455" s="4">
        <v>5622</v>
      </c>
      <c r="K455" s="4">
        <f>Tablo1[[#This Row],[Quantity]]*Tablo1[[#This Row],[Unit_Price]]</f>
        <v>40780</v>
      </c>
      <c r="L455" s="4">
        <f>Tablo1[[#This Row],[Sales]]-(Tablo1[[#This Row],[Quantity]]*Tablo1[[#This Row],[Unit_Cost]])</f>
        <v>18292</v>
      </c>
    </row>
    <row r="456" spans="1:12" x14ac:dyDescent="0.3">
      <c r="A456" s="2">
        <v>1455</v>
      </c>
      <c r="B456" s="7">
        <v>45345</v>
      </c>
      <c r="C456" s="8" t="s">
        <v>76</v>
      </c>
      <c r="D456" s="2" t="s">
        <v>35</v>
      </c>
      <c r="E456" s="2" t="s">
        <v>30</v>
      </c>
      <c r="F456" s="2" t="s">
        <v>40</v>
      </c>
      <c r="G456" s="2" t="s">
        <v>25</v>
      </c>
      <c r="H456" s="2">
        <v>4</v>
      </c>
      <c r="I456" s="4">
        <v>6114</v>
      </c>
      <c r="J456" s="4">
        <v>4880</v>
      </c>
      <c r="K456" s="4">
        <f>Tablo1[[#This Row],[Quantity]]*Tablo1[[#This Row],[Unit_Price]]</f>
        <v>24456</v>
      </c>
      <c r="L456" s="4">
        <f>Tablo1[[#This Row],[Sales]]-(Tablo1[[#This Row],[Quantity]]*Tablo1[[#This Row],[Unit_Cost]])</f>
        <v>4936</v>
      </c>
    </row>
    <row r="457" spans="1:12" x14ac:dyDescent="0.3">
      <c r="A457" s="2">
        <v>1456</v>
      </c>
      <c r="B457" s="7">
        <v>45353</v>
      </c>
      <c r="C457" s="8" t="s">
        <v>74</v>
      </c>
      <c r="D457" s="2" t="s">
        <v>44</v>
      </c>
      <c r="E457" s="2" t="s">
        <v>23</v>
      </c>
      <c r="F457" s="2" t="s">
        <v>27</v>
      </c>
      <c r="G457" s="2" t="s">
        <v>28</v>
      </c>
      <c r="H457" s="2">
        <v>1</v>
      </c>
      <c r="I457" s="4">
        <v>653</v>
      </c>
      <c r="J457" s="4">
        <v>466</v>
      </c>
      <c r="K457" s="4">
        <f>Tablo1[[#This Row],[Quantity]]*Tablo1[[#This Row],[Unit_Price]]</f>
        <v>653</v>
      </c>
      <c r="L457" s="4">
        <f>Tablo1[[#This Row],[Sales]]-(Tablo1[[#This Row],[Quantity]]*Tablo1[[#This Row],[Unit_Cost]])</f>
        <v>187</v>
      </c>
    </row>
    <row r="458" spans="1:12" x14ac:dyDescent="0.3">
      <c r="A458" s="2">
        <v>1457</v>
      </c>
      <c r="B458" s="7">
        <v>45407</v>
      </c>
      <c r="C458" s="8" t="s">
        <v>77</v>
      </c>
      <c r="D458" s="2" t="s">
        <v>22</v>
      </c>
      <c r="E458" s="2" t="s">
        <v>30</v>
      </c>
      <c r="F458" s="2" t="s">
        <v>31</v>
      </c>
      <c r="G458" s="2" t="s">
        <v>17</v>
      </c>
      <c r="H458" s="2">
        <v>9</v>
      </c>
      <c r="I458" s="4">
        <v>9374</v>
      </c>
      <c r="J458" s="4">
        <v>6956</v>
      </c>
      <c r="K458" s="4">
        <f>Tablo1[[#This Row],[Quantity]]*Tablo1[[#This Row],[Unit_Price]]</f>
        <v>84366</v>
      </c>
      <c r="L458" s="4">
        <f>Tablo1[[#This Row],[Sales]]-(Tablo1[[#This Row],[Quantity]]*Tablo1[[#This Row],[Unit_Cost]])</f>
        <v>21762</v>
      </c>
    </row>
    <row r="459" spans="1:12" x14ac:dyDescent="0.3">
      <c r="A459" s="2">
        <v>1458</v>
      </c>
      <c r="B459" s="7">
        <v>45610</v>
      </c>
      <c r="C459" s="8" t="s">
        <v>75</v>
      </c>
      <c r="D459" s="2" t="s">
        <v>44</v>
      </c>
      <c r="E459" s="2" t="s">
        <v>20</v>
      </c>
      <c r="F459" s="2" t="s">
        <v>24</v>
      </c>
      <c r="G459" s="2" t="s">
        <v>25</v>
      </c>
      <c r="H459" s="2">
        <v>9</v>
      </c>
      <c r="I459" s="4">
        <v>5773</v>
      </c>
      <c r="J459" s="4">
        <v>3330</v>
      </c>
      <c r="K459" s="4">
        <f>Tablo1[[#This Row],[Quantity]]*Tablo1[[#This Row],[Unit_Price]]</f>
        <v>51957</v>
      </c>
      <c r="L459" s="4">
        <f>Tablo1[[#This Row],[Sales]]-(Tablo1[[#This Row],[Quantity]]*Tablo1[[#This Row],[Unit_Cost]])</f>
        <v>21987</v>
      </c>
    </row>
    <row r="460" spans="1:12" x14ac:dyDescent="0.3">
      <c r="A460" s="2">
        <v>1459</v>
      </c>
      <c r="B460" s="7">
        <v>45566</v>
      </c>
      <c r="C460" s="8" t="s">
        <v>76</v>
      </c>
      <c r="D460" s="2" t="s">
        <v>43</v>
      </c>
      <c r="E460" s="2" t="s">
        <v>26</v>
      </c>
      <c r="F460" s="2" t="s">
        <v>46</v>
      </c>
      <c r="G460" s="2" t="s">
        <v>17</v>
      </c>
      <c r="H460" s="2">
        <v>1</v>
      </c>
      <c r="I460" s="4">
        <v>7255</v>
      </c>
      <c r="J460" s="4">
        <v>4382</v>
      </c>
      <c r="K460" s="4">
        <f>Tablo1[[#This Row],[Quantity]]*Tablo1[[#This Row],[Unit_Price]]</f>
        <v>7255</v>
      </c>
      <c r="L460" s="4">
        <f>Tablo1[[#This Row],[Sales]]-(Tablo1[[#This Row],[Quantity]]*Tablo1[[#This Row],[Unit_Cost]])</f>
        <v>2873</v>
      </c>
    </row>
    <row r="461" spans="1:12" x14ac:dyDescent="0.3">
      <c r="A461" s="2">
        <v>1460</v>
      </c>
      <c r="B461" s="7">
        <v>45648</v>
      </c>
      <c r="C461" s="8" t="s">
        <v>75</v>
      </c>
      <c r="D461" s="2" t="s">
        <v>44</v>
      </c>
      <c r="E461" s="2" t="s">
        <v>20</v>
      </c>
      <c r="F461" s="2" t="s">
        <v>16</v>
      </c>
      <c r="G461" s="2" t="s">
        <v>17</v>
      </c>
      <c r="H461" s="2">
        <v>7</v>
      </c>
      <c r="I461" s="4">
        <v>11512</v>
      </c>
      <c r="J461" s="4">
        <v>7970</v>
      </c>
      <c r="K461" s="4">
        <f>Tablo1[[#This Row],[Quantity]]*Tablo1[[#This Row],[Unit_Price]]</f>
        <v>80584</v>
      </c>
      <c r="L461" s="4">
        <f>Tablo1[[#This Row],[Sales]]-(Tablo1[[#This Row],[Quantity]]*Tablo1[[#This Row],[Unit_Cost]])</f>
        <v>24794</v>
      </c>
    </row>
    <row r="462" spans="1:12" x14ac:dyDescent="0.3">
      <c r="A462" s="2">
        <v>1461</v>
      </c>
      <c r="B462" s="7">
        <v>45473</v>
      </c>
      <c r="C462" s="8" t="s">
        <v>74</v>
      </c>
      <c r="D462" s="2" t="s">
        <v>13</v>
      </c>
      <c r="E462" s="2" t="s">
        <v>20</v>
      </c>
      <c r="F462" s="2" t="s">
        <v>11</v>
      </c>
      <c r="G462" s="2" t="s">
        <v>12</v>
      </c>
      <c r="H462" s="2">
        <v>7</v>
      </c>
      <c r="I462" s="4">
        <v>15116</v>
      </c>
      <c r="J462" s="4">
        <v>9626</v>
      </c>
      <c r="K462" s="4">
        <f>Tablo1[[#This Row],[Quantity]]*Tablo1[[#This Row],[Unit_Price]]</f>
        <v>105812</v>
      </c>
      <c r="L462" s="4">
        <f>Tablo1[[#This Row],[Sales]]-(Tablo1[[#This Row],[Quantity]]*Tablo1[[#This Row],[Unit_Cost]])</f>
        <v>38430</v>
      </c>
    </row>
    <row r="463" spans="1:12" x14ac:dyDescent="0.3">
      <c r="A463" s="2">
        <v>1462</v>
      </c>
      <c r="B463" s="7">
        <v>45349</v>
      </c>
      <c r="C463" s="8" t="s">
        <v>73</v>
      </c>
      <c r="D463" s="2" t="s">
        <v>44</v>
      </c>
      <c r="E463" s="2" t="s">
        <v>23</v>
      </c>
      <c r="F463" s="2" t="s">
        <v>14</v>
      </c>
      <c r="G463" s="2" t="s">
        <v>12</v>
      </c>
      <c r="H463" s="2">
        <v>6</v>
      </c>
      <c r="I463" s="4">
        <v>13567</v>
      </c>
      <c r="J463" s="4">
        <v>8407</v>
      </c>
      <c r="K463" s="4">
        <f>Tablo1[[#This Row],[Quantity]]*Tablo1[[#This Row],[Unit_Price]]</f>
        <v>81402</v>
      </c>
      <c r="L463" s="4">
        <f>Tablo1[[#This Row],[Sales]]-(Tablo1[[#This Row],[Quantity]]*Tablo1[[#This Row],[Unit_Cost]])</f>
        <v>30960</v>
      </c>
    </row>
    <row r="464" spans="1:12" x14ac:dyDescent="0.3">
      <c r="A464" s="2">
        <v>1463</v>
      </c>
      <c r="B464" s="7">
        <v>45651</v>
      </c>
      <c r="C464" s="8" t="s">
        <v>73</v>
      </c>
      <c r="D464" s="2" t="s">
        <v>44</v>
      </c>
      <c r="E464" s="2" t="s">
        <v>38</v>
      </c>
      <c r="F464" s="2" t="s">
        <v>40</v>
      </c>
      <c r="G464" s="2" t="s">
        <v>25</v>
      </c>
      <c r="H464" s="2">
        <v>6</v>
      </c>
      <c r="I464" s="4">
        <v>6713</v>
      </c>
      <c r="J464" s="4">
        <v>3685</v>
      </c>
      <c r="K464" s="4">
        <f>Tablo1[[#This Row],[Quantity]]*Tablo1[[#This Row],[Unit_Price]]</f>
        <v>40278</v>
      </c>
      <c r="L464" s="4">
        <f>Tablo1[[#This Row],[Sales]]-(Tablo1[[#This Row],[Quantity]]*Tablo1[[#This Row],[Unit_Cost]])</f>
        <v>18168</v>
      </c>
    </row>
    <row r="465" spans="1:12" x14ac:dyDescent="0.3">
      <c r="A465" s="2">
        <v>1464</v>
      </c>
      <c r="B465" s="7">
        <v>45462</v>
      </c>
      <c r="C465" s="8" t="s">
        <v>75</v>
      </c>
      <c r="D465" s="2" t="s">
        <v>41</v>
      </c>
      <c r="E465" s="2" t="s">
        <v>30</v>
      </c>
      <c r="F465" s="2" t="s">
        <v>21</v>
      </c>
      <c r="G465" s="2" t="s">
        <v>17</v>
      </c>
      <c r="H465" s="2">
        <v>3</v>
      </c>
      <c r="I465" s="4">
        <v>3864</v>
      </c>
      <c r="J465" s="4">
        <v>2751</v>
      </c>
      <c r="K465" s="4">
        <f>Tablo1[[#This Row],[Quantity]]*Tablo1[[#This Row],[Unit_Price]]</f>
        <v>11592</v>
      </c>
      <c r="L465" s="4">
        <f>Tablo1[[#This Row],[Sales]]-(Tablo1[[#This Row],[Quantity]]*Tablo1[[#This Row],[Unit_Cost]])</f>
        <v>3339</v>
      </c>
    </row>
    <row r="466" spans="1:12" x14ac:dyDescent="0.3">
      <c r="A466" s="2">
        <v>1465</v>
      </c>
      <c r="B466" s="7">
        <v>45414</v>
      </c>
      <c r="C466" s="8" t="s">
        <v>74</v>
      </c>
      <c r="D466" s="2" t="s">
        <v>35</v>
      </c>
      <c r="E466" s="2" t="s">
        <v>23</v>
      </c>
      <c r="F466" s="2" t="s">
        <v>40</v>
      </c>
      <c r="G466" s="2" t="s">
        <v>25</v>
      </c>
      <c r="H466" s="2">
        <v>2</v>
      </c>
      <c r="I466" s="4">
        <v>4765</v>
      </c>
      <c r="J466" s="4">
        <v>3317</v>
      </c>
      <c r="K466" s="4">
        <f>Tablo1[[#This Row],[Quantity]]*Tablo1[[#This Row],[Unit_Price]]</f>
        <v>9530</v>
      </c>
      <c r="L466" s="4">
        <f>Tablo1[[#This Row],[Sales]]-(Tablo1[[#This Row],[Quantity]]*Tablo1[[#This Row],[Unit_Cost]])</f>
        <v>2896</v>
      </c>
    </row>
    <row r="467" spans="1:12" x14ac:dyDescent="0.3">
      <c r="A467" s="2">
        <v>1466</v>
      </c>
      <c r="B467" s="7">
        <v>45490</v>
      </c>
      <c r="C467" s="8" t="s">
        <v>76</v>
      </c>
      <c r="D467" s="2" t="s">
        <v>43</v>
      </c>
      <c r="E467" s="2" t="s">
        <v>20</v>
      </c>
      <c r="F467" s="2" t="s">
        <v>48</v>
      </c>
      <c r="G467" s="2" t="s">
        <v>34</v>
      </c>
      <c r="H467" s="2">
        <v>10</v>
      </c>
      <c r="I467" s="4">
        <v>5483</v>
      </c>
      <c r="J467" s="4">
        <v>3768</v>
      </c>
      <c r="K467" s="4">
        <f>Tablo1[[#This Row],[Quantity]]*Tablo1[[#This Row],[Unit_Price]]</f>
        <v>54830</v>
      </c>
      <c r="L467" s="4">
        <f>Tablo1[[#This Row],[Sales]]-(Tablo1[[#This Row],[Quantity]]*Tablo1[[#This Row],[Unit_Cost]])</f>
        <v>17150</v>
      </c>
    </row>
    <row r="468" spans="1:12" x14ac:dyDescent="0.3">
      <c r="A468" s="2">
        <v>1467</v>
      </c>
      <c r="B468" s="7">
        <v>45428</v>
      </c>
      <c r="C468" s="8" t="s">
        <v>75</v>
      </c>
      <c r="D468" s="2" t="s">
        <v>13</v>
      </c>
      <c r="E468" s="2" t="s">
        <v>23</v>
      </c>
      <c r="F468" s="2" t="s">
        <v>39</v>
      </c>
      <c r="G468" s="2" t="s">
        <v>28</v>
      </c>
      <c r="H468" s="2">
        <v>10</v>
      </c>
      <c r="I468" s="4">
        <v>3861</v>
      </c>
      <c r="J468" s="4">
        <v>2851</v>
      </c>
      <c r="K468" s="4">
        <f>Tablo1[[#This Row],[Quantity]]*Tablo1[[#This Row],[Unit_Price]]</f>
        <v>38610</v>
      </c>
      <c r="L468" s="4">
        <f>Tablo1[[#This Row],[Sales]]-(Tablo1[[#This Row],[Quantity]]*Tablo1[[#This Row],[Unit_Cost]])</f>
        <v>10100</v>
      </c>
    </row>
    <row r="469" spans="1:12" x14ac:dyDescent="0.3">
      <c r="A469" s="2">
        <v>1468</v>
      </c>
      <c r="B469" s="7">
        <v>45484</v>
      </c>
      <c r="C469" s="8" t="s">
        <v>73</v>
      </c>
      <c r="D469" s="2" t="s">
        <v>22</v>
      </c>
      <c r="E469" s="2" t="s">
        <v>20</v>
      </c>
      <c r="F469" s="2" t="s">
        <v>39</v>
      </c>
      <c r="G469" s="2" t="s">
        <v>28</v>
      </c>
      <c r="H469" s="2">
        <v>1</v>
      </c>
      <c r="I469" s="4">
        <v>2223</v>
      </c>
      <c r="J469" s="4">
        <v>1407</v>
      </c>
      <c r="K469" s="4">
        <f>Tablo1[[#This Row],[Quantity]]*Tablo1[[#This Row],[Unit_Price]]</f>
        <v>2223</v>
      </c>
      <c r="L469" s="4">
        <f>Tablo1[[#This Row],[Sales]]-(Tablo1[[#This Row],[Quantity]]*Tablo1[[#This Row],[Unit_Cost]])</f>
        <v>816</v>
      </c>
    </row>
    <row r="470" spans="1:12" x14ac:dyDescent="0.3">
      <c r="A470" s="2">
        <v>1469</v>
      </c>
      <c r="B470" s="7">
        <v>45348</v>
      </c>
      <c r="C470" s="8" t="s">
        <v>76</v>
      </c>
      <c r="D470" s="2" t="s">
        <v>19</v>
      </c>
      <c r="E470" s="2" t="s">
        <v>23</v>
      </c>
      <c r="F470" s="2" t="s">
        <v>36</v>
      </c>
      <c r="G470" s="2" t="s">
        <v>34</v>
      </c>
      <c r="H470" s="2">
        <v>9</v>
      </c>
      <c r="I470" s="4">
        <v>6344</v>
      </c>
      <c r="J470" s="4">
        <v>3269</v>
      </c>
      <c r="K470" s="4">
        <f>Tablo1[[#This Row],[Quantity]]*Tablo1[[#This Row],[Unit_Price]]</f>
        <v>57096</v>
      </c>
      <c r="L470" s="4">
        <f>Tablo1[[#This Row],[Sales]]-(Tablo1[[#This Row],[Quantity]]*Tablo1[[#This Row],[Unit_Cost]])</f>
        <v>27675</v>
      </c>
    </row>
    <row r="471" spans="1:12" x14ac:dyDescent="0.3">
      <c r="A471" s="2">
        <v>1470</v>
      </c>
      <c r="B471" s="7">
        <v>45317</v>
      </c>
      <c r="C471" s="8" t="s">
        <v>74</v>
      </c>
      <c r="D471" s="2" t="s">
        <v>43</v>
      </c>
      <c r="E471" s="2" t="s">
        <v>38</v>
      </c>
      <c r="F471" s="2" t="s">
        <v>36</v>
      </c>
      <c r="G471" s="2" t="s">
        <v>34</v>
      </c>
      <c r="H471" s="2">
        <v>3</v>
      </c>
      <c r="I471" s="4">
        <v>2304</v>
      </c>
      <c r="J471" s="4">
        <v>1656</v>
      </c>
      <c r="K471" s="4">
        <f>Tablo1[[#This Row],[Quantity]]*Tablo1[[#This Row],[Unit_Price]]</f>
        <v>6912</v>
      </c>
      <c r="L471" s="4">
        <f>Tablo1[[#This Row],[Sales]]-(Tablo1[[#This Row],[Quantity]]*Tablo1[[#This Row],[Unit_Cost]])</f>
        <v>1944</v>
      </c>
    </row>
    <row r="472" spans="1:12" x14ac:dyDescent="0.3">
      <c r="A472" s="2">
        <v>1471</v>
      </c>
      <c r="B472" s="7">
        <v>45605</v>
      </c>
      <c r="C472" s="8" t="s">
        <v>77</v>
      </c>
      <c r="D472" s="2" t="s">
        <v>15</v>
      </c>
      <c r="E472" s="2" t="s">
        <v>26</v>
      </c>
      <c r="F472" s="2" t="s">
        <v>39</v>
      </c>
      <c r="G472" s="2" t="s">
        <v>28</v>
      </c>
      <c r="H472" s="2">
        <v>10</v>
      </c>
      <c r="I472" s="4">
        <v>419</v>
      </c>
      <c r="J472" s="4">
        <v>253</v>
      </c>
      <c r="K472" s="4">
        <f>Tablo1[[#This Row],[Quantity]]*Tablo1[[#This Row],[Unit_Price]]</f>
        <v>4190</v>
      </c>
      <c r="L472" s="4">
        <f>Tablo1[[#This Row],[Sales]]-(Tablo1[[#This Row],[Quantity]]*Tablo1[[#This Row],[Unit_Cost]])</f>
        <v>1660</v>
      </c>
    </row>
    <row r="473" spans="1:12" x14ac:dyDescent="0.3">
      <c r="A473" s="2">
        <v>1472</v>
      </c>
      <c r="B473" s="7">
        <v>45634</v>
      </c>
      <c r="C473" s="8" t="s">
        <v>75</v>
      </c>
      <c r="D473" s="2" t="s">
        <v>13</v>
      </c>
      <c r="E473" s="2" t="s">
        <v>38</v>
      </c>
      <c r="F473" s="2" t="s">
        <v>16</v>
      </c>
      <c r="G473" s="2" t="s">
        <v>17</v>
      </c>
      <c r="H473" s="2">
        <v>2</v>
      </c>
      <c r="I473" s="4">
        <v>10024</v>
      </c>
      <c r="J473" s="4">
        <v>6639</v>
      </c>
      <c r="K473" s="4">
        <f>Tablo1[[#This Row],[Quantity]]*Tablo1[[#This Row],[Unit_Price]]</f>
        <v>20048</v>
      </c>
      <c r="L473" s="4">
        <f>Tablo1[[#This Row],[Sales]]-(Tablo1[[#This Row],[Quantity]]*Tablo1[[#This Row],[Unit_Cost]])</f>
        <v>6770</v>
      </c>
    </row>
    <row r="474" spans="1:12" x14ac:dyDescent="0.3">
      <c r="A474" s="2">
        <v>1473</v>
      </c>
      <c r="B474" s="7">
        <v>45544</v>
      </c>
      <c r="C474" s="8" t="s">
        <v>76</v>
      </c>
      <c r="D474" s="2" t="s">
        <v>44</v>
      </c>
      <c r="E474" s="2" t="s">
        <v>26</v>
      </c>
      <c r="F474" s="2" t="s">
        <v>47</v>
      </c>
      <c r="G474" s="2" t="s">
        <v>25</v>
      </c>
      <c r="H474" s="2">
        <v>3</v>
      </c>
      <c r="I474" s="4">
        <v>1248</v>
      </c>
      <c r="J474" s="4">
        <v>897</v>
      </c>
      <c r="K474" s="4">
        <f>Tablo1[[#This Row],[Quantity]]*Tablo1[[#This Row],[Unit_Price]]</f>
        <v>3744</v>
      </c>
      <c r="L474" s="4">
        <f>Tablo1[[#This Row],[Sales]]-(Tablo1[[#This Row],[Quantity]]*Tablo1[[#This Row],[Unit_Cost]])</f>
        <v>1053</v>
      </c>
    </row>
    <row r="475" spans="1:12" x14ac:dyDescent="0.3">
      <c r="A475" s="2">
        <v>1474</v>
      </c>
      <c r="B475" s="7">
        <v>45474</v>
      </c>
      <c r="C475" s="8" t="s">
        <v>75</v>
      </c>
      <c r="D475" s="2" t="s">
        <v>41</v>
      </c>
      <c r="E475" s="2" t="s">
        <v>38</v>
      </c>
      <c r="F475" s="2" t="s">
        <v>11</v>
      </c>
      <c r="G475" s="2" t="s">
        <v>12</v>
      </c>
      <c r="H475" s="2">
        <v>9</v>
      </c>
      <c r="I475" s="4">
        <v>10229</v>
      </c>
      <c r="J475" s="4">
        <v>7428</v>
      </c>
      <c r="K475" s="4">
        <f>Tablo1[[#This Row],[Quantity]]*Tablo1[[#This Row],[Unit_Price]]</f>
        <v>92061</v>
      </c>
      <c r="L475" s="4">
        <f>Tablo1[[#This Row],[Sales]]-(Tablo1[[#This Row],[Quantity]]*Tablo1[[#This Row],[Unit_Cost]])</f>
        <v>25209</v>
      </c>
    </row>
    <row r="476" spans="1:12" x14ac:dyDescent="0.3">
      <c r="A476" s="2">
        <v>1475</v>
      </c>
      <c r="B476" s="7">
        <v>45588</v>
      </c>
      <c r="C476" s="8" t="s">
        <v>74</v>
      </c>
      <c r="D476" s="2" t="s">
        <v>41</v>
      </c>
      <c r="E476" s="2" t="s">
        <v>26</v>
      </c>
      <c r="F476" s="2" t="s">
        <v>37</v>
      </c>
      <c r="G476" s="2" t="s">
        <v>28</v>
      </c>
      <c r="H476" s="2">
        <v>6</v>
      </c>
      <c r="I476" s="4">
        <v>3203</v>
      </c>
      <c r="J476" s="4">
        <v>2094</v>
      </c>
      <c r="K476" s="4">
        <f>Tablo1[[#This Row],[Quantity]]*Tablo1[[#This Row],[Unit_Price]]</f>
        <v>19218</v>
      </c>
      <c r="L476" s="4">
        <f>Tablo1[[#This Row],[Sales]]-(Tablo1[[#This Row],[Quantity]]*Tablo1[[#This Row],[Unit_Cost]])</f>
        <v>6654</v>
      </c>
    </row>
    <row r="477" spans="1:12" x14ac:dyDescent="0.3">
      <c r="A477" s="2">
        <v>1476</v>
      </c>
      <c r="B477" s="7">
        <v>45603</v>
      </c>
      <c r="C477" s="8" t="s">
        <v>73</v>
      </c>
      <c r="D477" s="2" t="s">
        <v>32</v>
      </c>
      <c r="E477" s="2" t="s">
        <v>26</v>
      </c>
      <c r="F477" s="2" t="s">
        <v>16</v>
      </c>
      <c r="G477" s="2" t="s">
        <v>17</v>
      </c>
      <c r="H477" s="2">
        <v>3</v>
      </c>
      <c r="I477" s="4">
        <v>7691</v>
      </c>
      <c r="J477" s="4">
        <v>5783</v>
      </c>
      <c r="K477" s="4">
        <f>Tablo1[[#This Row],[Quantity]]*Tablo1[[#This Row],[Unit_Price]]</f>
        <v>23073</v>
      </c>
      <c r="L477" s="4">
        <f>Tablo1[[#This Row],[Sales]]-(Tablo1[[#This Row],[Quantity]]*Tablo1[[#This Row],[Unit_Cost]])</f>
        <v>5724</v>
      </c>
    </row>
    <row r="478" spans="1:12" x14ac:dyDescent="0.3">
      <c r="A478" s="2">
        <v>1477</v>
      </c>
      <c r="B478" s="7">
        <v>45503</v>
      </c>
      <c r="C478" s="8" t="s">
        <v>73</v>
      </c>
      <c r="D478" s="2" t="s">
        <v>19</v>
      </c>
      <c r="E478" s="2" t="s">
        <v>26</v>
      </c>
      <c r="F478" s="2" t="s">
        <v>50</v>
      </c>
      <c r="G478" s="2" t="s">
        <v>28</v>
      </c>
      <c r="H478" s="2">
        <v>4</v>
      </c>
      <c r="I478" s="4">
        <v>1487</v>
      </c>
      <c r="J478" s="4">
        <v>929</v>
      </c>
      <c r="K478" s="4">
        <f>Tablo1[[#This Row],[Quantity]]*Tablo1[[#This Row],[Unit_Price]]</f>
        <v>5948</v>
      </c>
      <c r="L478" s="4">
        <f>Tablo1[[#This Row],[Sales]]-(Tablo1[[#This Row],[Quantity]]*Tablo1[[#This Row],[Unit_Cost]])</f>
        <v>2232</v>
      </c>
    </row>
    <row r="479" spans="1:12" x14ac:dyDescent="0.3">
      <c r="A479" s="2">
        <v>1478</v>
      </c>
      <c r="B479" s="7">
        <v>45511</v>
      </c>
      <c r="C479" s="8" t="s">
        <v>75</v>
      </c>
      <c r="D479" s="2" t="s">
        <v>44</v>
      </c>
      <c r="E479" s="2" t="s">
        <v>26</v>
      </c>
      <c r="F479" s="2" t="s">
        <v>36</v>
      </c>
      <c r="G479" s="2" t="s">
        <v>34</v>
      </c>
      <c r="H479" s="2">
        <v>1</v>
      </c>
      <c r="I479" s="4">
        <v>1617</v>
      </c>
      <c r="J479" s="4">
        <v>1055</v>
      </c>
      <c r="K479" s="4">
        <f>Tablo1[[#This Row],[Quantity]]*Tablo1[[#This Row],[Unit_Price]]</f>
        <v>1617</v>
      </c>
      <c r="L479" s="4">
        <f>Tablo1[[#This Row],[Sales]]-(Tablo1[[#This Row],[Quantity]]*Tablo1[[#This Row],[Unit_Cost]])</f>
        <v>562</v>
      </c>
    </row>
    <row r="480" spans="1:12" x14ac:dyDescent="0.3">
      <c r="A480" s="2">
        <v>1479</v>
      </c>
      <c r="B480" s="7">
        <v>45645</v>
      </c>
      <c r="C480" s="8" t="s">
        <v>74</v>
      </c>
      <c r="D480" s="2" t="s">
        <v>19</v>
      </c>
      <c r="E480" s="2" t="s">
        <v>30</v>
      </c>
      <c r="F480" s="2" t="s">
        <v>48</v>
      </c>
      <c r="G480" s="2" t="s">
        <v>34</v>
      </c>
      <c r="H480" s="2">
        <v>7</v>
      </c>
      <c r="I480" s="4">
        <v>6328</v>
      </c>
      <c r="J480" s="4">
        <v>4329</v>
      </c>
      <c r="K480" s="4">
        <f>Tablo1[[#This Row],[Quantity]]*Tablo1[[#This Row],[Unit_Price]]</f>
        <v>44296</v>
      </c>
      <c r="L480" s="4">
        <f>Tablo1[[#This Row],[Sales]]-(Tablo1[[#This Row],[Quantity]]*Tablo1[[#This Row],[Unit_Cost]])</f>
        <v>13993</v>
      </c>
    </row>
    <row r="481" spans="1:12" x14ac:dyDescent="0.3">
      <c r="A481" s="2">
        <v>1480</v>
      </c>
      <c r="B481" s="7">
        <v>45314</v>
      </c>
      <c r="C481" s="8" t="s">
        <v>76</v>
      </c>
      <c r="D481" s="2" t="s">
        <v>32</v>
      </c>
      <c r="E481" s="2" t="s">
        <v>23</v>
      </c>
      <c r="F481" s="2" t="s">
        <v>36</v>
      </c>
      <c r="G481" s="2" t="s">
        <v>34</v>
      </c>
      <c r="H481" s="2">
        <v>3</v>
      </c>
      <c r="I481" s="4">
        <v>1916</v>
      </c>
      <c r="J481" s="4">
        <v>1503</v>
      </c>
      <c r="K481" s="4">
        <f>Tablo1[[#This Row],[Quantity]]*Tablo1[[#This Row],[Unit_Price]]</f>
        <v>5748</v>
      </c>
      <c r="L481" s="4">
        <f>Tablo1[[#This Row],[Sales]]-(Tablo1[[#This Row],[Quantity]]*Tablo1[[#This Row],[Unit_Cost]])</f>
        <v>1239</v>
      </c>
    </row>
    <row r="482" spans="1:12" x14ac:dyDescent="0.3">
      <c r="A482" s="2">
        <v>1481</v>
      </c>
      <c r="B482" s="7">
        <v>45531</v>
      </c>
      <c r="C482" s="8" t="s">
        <v>75</v>
      </c>
      <c r="D482" s="2" t="s">
        <v>22</v>
      </c>
      <c r="E482" s="2" t="s">
        <v>20</v>
      </c>
      <c r="F482" s="2" t="s">
        <v>36</v>
      </c>
      <c r="G482" s="2" t="s">
        <v>34</v>
      </c>
      <c r="H482" s="2">
        <v>3</v>
      </c>
      <c r="I482" s="4">
        <v>4467</v>
      </c>
      <c r="J482" s="4">
        <v>2914</v>
      </c>
      <c r="K482" s="4">
        <f>Tablo1[[#This Row],[Quantity]]*Tablo1[[#This Row],[Unit_Price]]</f>
        <v>13401</v>
      </c>
      <c r="L482" s="4">
        <f>Tablo1[[#This Row],[Sales]]-(Tablo1[[#This Row],[Quantity]]*Tablo1[[#This Row],[Unit_Cost]])</f>
        <v>4659</v>
      </c>
    </row>
    <row r="483" spans="1:12" x14ac:dyDescent="0.3">
      <c r="A483" s="2">
        <v>1482</v>
      </c>
      <c r="B483" s="7">
        <v>45499</v>
      </c>
      <c r="C483" s="8" t="s">
        <v>73</v>
      </c>
      <c r="D483" s="2" t="s">
        <v>10</v>
      </c>
      <c r="E483" s="2" t="s">
        <v>23</v>
      </c>
      <c r="F483" s="2" t="s">
        <v>39</v>
      </c>
      <c r="G483" s="2" t="s">
        <v>28</v>
      </c>
      <c r="H483" s="2">
        <v>10</v>
      </c>
      <c r="I483" s="4">
        <v>842</v>
      </c>
      <c r="J483" s="4">
        <v>571</v>
      </c>
      <c r="K483" s="4">
        <f>Tablo1[[#This Row],[Quantity]]*Tablo1[[#This Row],[Unit_Price]]</f>
        <v>8420</v>
      </c>
      <c r="L483" s="4">
        <f>Tablo1[[#This Row],[Sales]]-(Tablo1[[#This Row],[Quantity]]*Tablo1[[#This Row],[Unit_Cost]])</f>
        <v>2710</v>
      </c>
    </row>
    <row r="484" spans="1:12" x14ac:dyDescent="0.3">
      <c r="A484" s="2">
        <v>1483</v>
      </c>
      <c r="B484" s="7">
        <v>45616</v>
      </c>
      <c r="C484" s="8" t="s">
        <v>76</v>
      </c>
      <c r="D484" s="2" t="s">
        <v>41</v>
      </c>
      <c r="E484" s="2" t="s">
        <v>38</v>
      </c>
      <c r="F484" s="2" t="s">
        <v>27</v>
      </c>
      <c r="G484" s="2" t="s">
        <v>28</v>
      </c>
      <c r="H484" s="2">
        <v>10</v>
      </c>
      <c r="I484" s="4">
        <v>1865</v>
      </c>
      <c r="J484" s="4">
        <v>1437</v>
      </c>
      <c r="K484" s="4">
        <f>Tablo1[[#This Row],[Quantity]]*Tablo1[[#This Row],[Unit_Price]]</f>
        <v>18650</v>
      </c>
      <c r="L484" s="4">
        <f>Tablo1[[#This Row],[Sales]]-(Tablo1[[#This Row],[Quantity]]*Tablo1[[#This Row],[Unit_Cost]])</f>
        <v>4280</v>
      </c>
    </row>
    <row r="485" spans="1:12" x14ac:dyDescent="0.3">
      <c r="A485" s="2">
        <v>1484</v>
      </c>
      <c r="B485" s="7">
        <v>45501</v>
      </c>
      <c r="C485" s="8" t="s">
        <v>74</v>
      </c>
      <c r="D485" s="2" t="s">
        <v>44</v>
      </c>
      <c r="E485" s="2" t="s">
        <v>26</v>
      </c>
      <c r="F485" s="2" t="s">
        <v>27</v>
      </c>
      <c r="G485" s="2" t="s">
        <v>28</v>
      </c>
      <c r="H485" s="2">
        <v>3</v>
      </c>
      <c r="I485" s="4">
        <v>3117</v>
      </c>
      <c r="J485" s="4">
        <v>1880</v>
      </c>
      <c r="K485" s="4">
        <f>Tablo1[[#This Row],[Quantity]]*Tablo1[[#This Row],[Unit_Price]]</f>
        <v>9351</v>
      </c>
      <c r="L485" s="4">
        <f>Tablo1[[#This Row],[Sales]]-(Tablo1[[#This Row],[Quantity]]*Tablo1[[#This Row],[Unit_Cost]])</f>
        <v>3711</v>
      </c>
    </row>
    <row r="486" spans="1:12" x14ac:dyDescent="0.3">
      <c r="A486" s="2">
        <v>1485</v>
      </c>
      <c r="B486" s="7">
        <v>45654</v>
      </c>
      <c r="C486" s="8" t="s">
        <v>77</v>
      </c>
      <c r="D486" s="2" t="s">
        <v>15</v>
      </c>
      <c r="E486" s="2" t="s">
        <v>38</v>
      </c>
      <c r="F486" s="2" t="s">
        <v>11</v>
      </c>
      <c r="G486" s="2" t="s">
        <v>12</v>
      </c>
      <c r="H486" s="2">
        <v>9</v>
      </c>
      <c r="I486" s="4">
        <v>16120</v>
      </c>
      <c r="J486" s="4">
        <v>9114</v>
      </c>
      <c r="K486" s="4">
        <f>Tablo1[[#This Row],[Quantity]]*Tablo1[[#This Row],[Unit_Price]]</f>
        <v>145080</v>
      </c>
      <c r="L486" s="4">
        <f>Tablo1[[#This Row],[Sales]]-(Tablo1[[#This Row],[Quantity]]*Tablo1[[#This Row],[Unit_Cost]])</f>
        <v>63054</v>
      </c>
    </row>
    <row r="487" spans="1:12" x14ac:dyDescent="0.3">
      <c r="A487" s="2">
        <v>1486</v>
      </c>
      <c r="B487" s="7">
        <v>45555</v>
      </c>
      <c r="C487" s="8" t="s">
        <v>75</v>
      </c>
      <c r="D487" s="2" t="s">
        <v>19</v>
      </c>
      <c r="E487" s="2" t="s">
        <v>26</v>
      </c>
      <c r="F487" s="2" t="s">
        <v>11</v>
      </c>
      <c r="G487" s="2" t="s">
        <v>12</v>
      </c>
      <c r="H487" s="2">
        <v>8</v>
      </c>
      <c r="I487" s="4">
        <v>24523</v>
      </c>
      <c r="J487" s="4">
        <v>13187</v>
      </c>
      <c r="K487" s="4">
        <f>Tablo1[[#This Row],[Quantity]]*Tablo1[[#This Row],[Unit_Price]]</f>
        <v>196184</v>
      </c>
      <c r="L487" s="4">
        <f>Tablo1[[#This Row],[Sales]]-(Tablo1[[#This Row],[Quantity]]*Tablo1[[#This Row],[Unit_Cost]])</f>
        <v>90688</v>
      </c>
    </row>
    <row r="488" spans="1:12" x14ac:dyDescent="0.3">
      <c r="A488" s="2">
        <v>1487</v>
      </c>
      <c r="B488" s="7">
        <v>45376</v>
      </c>
      <c r="C488" s="8" t="s">
        <v>76</v>
      </c>
      <c r="D488" s="2" t="s">
        <v>32</v>
      </c>
      <c r="E488" s="2" t="s">
        <v>20</v>
      </c>
      <c r="F488" s="2" t="s">
        <v>50</v>
      </c>
      <c r="G488" s="2" t="s">
        <v>28</v>
      </c>
      <c r="H488" s="2">
        <v>1</v>
      </c>
      <c r="I488" s="4">
        <v>3907</v>
      </c>
      <c r="J488" s="4">
        <v>2168</v>
      </c>
      <c r="K488" s="4">
        <f>Tablo1[[#This Row],[Quantity]]*Tablo1[[#This Row],[Unit_Price]]</f>
        <v>3907</v>
      </c>
      <c r="L488" s="4">
        <f>Tablo1[[#This Row],[Sales]]-(Tablo1[[#This Row],[Quantity]]*Tablo1[[#This Row],[Unit_Cost]])</f>
        <v>1739</v>
      </c>
    </row>
    <row r="489" spans="1:12" x14ac:dyDescent="0.3">
      <c r="A489" s="2">
        <v>1488</v>
      </c>
      <c r="B489" s="7">
        <v>45359</v>
      </c>
      <c r="C489" s="8" t="s">
        <v>75</v>
      </c>
      <c r="D489" s="2" t="s">
        <v>22</v>
      </c>
      <c r="E489" s="2" t="s">
        <v>20</v>
      </c>
      <c r="F489" s="2" t="s">
        <v>24</v>
      </c>
      <c r="G489" s="2" t="s">
        <v>25</v>
      </c>
      <c r="H489" s="2">
        <v>5</v>
      </c>
      <c r="I489" s="4">
        <v>6244</v>
      </c>
      <c r="J489" s="4">
        <v>4762</v>
      </c>
      <c r="K489" s="4">
        <f>Tablo1[[#This Row],[Quantity]]*Tablo1[[#This Row],[Unit_Price]]</f>
        <v>31220</v>
      </c>
      <c r="L489" s="4">
        <f>Tablo1[[#This Row],[Sales]]-(Tablo1[[#This Row],[Quantity]]*Tablo1[[#This Row],[Unit_Cost]])</f>
        <v>7410</v>
      </c>
    </row>
    <row r="490" spans="1:12" x14ac:dyDescent="0.3">
      <c r="A490" s="2">
        <v>1489</v>
      </c>
      <c r="B490" s="7">
        <v>45296</v>
      </c>
      <c r="C490" s="8" t="s">
        <v>74</v>
      </c>
      <c r="D490" s="2" t="s">
        <v>15</v>
      </c>
      <c r="E490" s="2" t="s">
        <v>26</v>
      </c>
      <c r="F490" s="2" t="s">
        <v>27</v>
      </c>
      <c r="G490" s="2" t="s">
        <v>28</v>
      </c>
      <c r="H490" s="2">
        <v>9</v>
      </c>
      <c r="I490" s="4">
        <v>318</v>
      </c>
      <c r="J490" s="4">
        <v>191</v>
      </c>
      <c r="K490" s="4">
        <f>Tablo1[[#This Row],[Quantity]]*Tablo1[[#This Row],[Unit_Price]]</f>
        <v>2862</v>
      </c>
      <c r="L490" s="4">
        <f>Tablo1[[#This Row],[Sales]]-(Tablo1[[#This Row],[Quantity]]*Tablo1[[#This Row],[Unit_Cost]])</f>
        <v>1143</v>
      </c>
    </row>
    <row r="491" spans="1:12" x14ac:dyDescent="0.3">
      <c r="A491" s="2">
        <v>1490</v>
      </c>
      <c r="B491" s="7">
        <v>45572</v>
      </c>
      <c r="C491" s="8" t="s">
        <v>73</v>
      </c>
      <c r="D491" s="2" t="s">
        <v>35</v>
      </c>
      <c r="E491" s="2" t="s">
        <v>26</v>
      </c>
      <c r="F491" s="2" t="s">
        <v>45</v>
      </c>
      <c r="G491" s="2" t="s">
        <v>34</v>
      </c>
      <c r="H491" s="2">
        <v>5</v>
      </c>
      <c r="I491" s="4">
        <v>573</v>
      </c>
      <c r="J491" s="4">
        <v>458</v>
      </c>
      <c r="K491" s="4">
        <f>Tablo1[[#This Row],[Quantity]]*Tablo1[[#This Row],[Unit_Price]]</f>
        <v>2865</v>
      </c>
      <c r="L491" s="4">
        <f>Tablo1[[#This Row],[Sales]]-(Tablo1[[#This Row],[Quantity]]*Tablo1[[#This Row],[Unit_Cost]])</f>
        <v>575</v>
      </c>
    </row>
    <row r="492" spans="1:12" x14ac:dyDescent="0.3">
      <c r="A492" s="2">
        <v>1491</v>
      </c>
      <c r="B492" s="7">
        <v>45547</v>
      </c>
      <c r="C492" s="8" t="s">
        <v>73</v>
      </c>
      <c r="D492" s="2" t="s">
        <v>10</v>
      </c>
      <c r="E492" s="2" t="s">
        <v>30</v>
      </c>
      <c r="F492" s="2" t="s">
        <v>37</v>
      </c>
      <c r="G492" s="2" t="s">
        <v>28</v>
      </c>
      <c r="H492" s="2">
        <v>4</v>
      </c>
      <c r="I492" s="4">
        <v>2918</v>
      </c>
      <c r="J492" s="4">
        <v>1717</v>
      </c>
      <c r="K492" s="4">
        <f>Tablo1[[#This Row],[Quantity]]*Tablo1[[#This Row],[Unit_Price]]</f>
        <v>11672</v>
      </c>
      <c r="L492" s="4">
        <f>Tablo1[[#This Row],[Sales]]-(Tablo1[[#This Row],[Quantity]]*Tablo1[[#This Row],[Unit_Cost]])</f>
        <v>4804</v>
      </c>
    </row>
    <row r="493" spans="1:12" x14ac:dyDescent="0.3">
      <c r="A493" s="2">
        <v>1492</v>
      </c>
      <c r="B493" s="7">
        <v>45633</v>
      </c>
      <c r="C493" s="8" t="s">
        <v>75</v>
      </c>
      <c r="D493" s="2" t="s">
        <v>32</v>
      </c>
      <c r="E493" s="2" t="s">
        <v>38</v>
      </c>
      <c r="F493" s="2" t="s">
        <v>37</v>
      </c>
      <c r="G493" s="2" t="s">
        <v>28</v>
      </c>
      <c r="H493" s="2">
        <v>7</v>
      </c>
      <c r="I493" s="4">
        <v>2997</v>
      </c>
      <c r="J493" s="4">
        <v>2058</v>
      </c>
      <c r="K493" s="4">
        <f>Tablo1[[#This Row],[Quantity]]*Tablo1[[#This Row],[Unit_Price]]</f>
        <v>20979</v>
      </c>
      <c r="L493" s="4">
        <f>Tablo1[[#This Row],[Sales]]-(Tablo1[[#This Row],[Quantity]]*Tablo1[[#This Row],[Unit_Cost]])</f>
        <v>6573</v>
      </c>
    </row>
    <row r="494" spans="1:12" x14ac:dyDescent="0.3">
      <c r="A494" s="2">
        <v>1493</v>
      </c>
      <c r="B494" s="7">
        <v>45569</v>
      </c>
      <c r="C494" s="8" t="s">
        <v>74</v>
      </c>
      <c r="D494" s="2" t="s">
        <v>10</v>
      </c>
      <c r="E494" s="2" t="s">
        <v>30</v>
      </c>
      <c r="F494" s="2" t="s">
        <v>48</v>
      </c>
      <c r="G494" s="2" t="s">
        <v>34</v>
      </c>
      <c r="H494" s="2">
        <v>4</v>
      </c>
      <c r="I494" s="4">
        <v>3396</v>
      </c>
      <c r="J494" s="4">
        <v>2025</v>
      </c>
      <c r="K494" s="4">
        <f>Tablo1[[#This Row],[Quantity]]*Tablo1[[#This Row],[Unit_Price]]</f>
        <v>13584</v>
      </c>
      <c r="L494" s="4">
        <f>Tablo1[[#This Row],[Sales]]-(Tablo1[[#This Row],[Quantity]]*Tablo1[[#This Row],[Unit_Cost]])</f>
        <v>5484</v>
      </c>
    </row>
    <row r="495" spans="1:12" x14ac:dyDescent="0.3">
      <c r="A495" s="2">
        <v>1494</v>
      </c>
      <c r="B495" s="7">
        <v>45299</v>
      </c>
      <c r="C495" s="8" t="s">
        <v>76</v>
      </c>
      <c r="D495" s="2" t="s">
        <v>32</v>
      </c>
      <c r="E495" s="2" t="s">
        <v>30</v>
      </c>
      <c r="F495" s="2" t="s">
        <v>31</v>
      </c>
      <c r="G495" s="2" t="s">
        <v>17</v>
      </c>
      <c r="H495" s="2">
        <v>9</v>
      </c>
      <c r="I495" s="4">
        <v>11895</v>
      </c>
      <c r="J495" s="4">
        <v>7826</v>
      </c>
      <c r="K495" s="4">
        <f>Tablo1[[#This Row],[Quantity]]*Tablo1[[#This Row],[Unit_Price]]</f>
        <v>107055</v>
      </c>
      <c r="L495" s="4">
        <f>Tablo1[[#This Row],[Sales]]-(Tablo1[[#This Row],[Quantity]]*Tablo1[[#This Row],[Unit_Cost]])</f>
        <v>36621</v>
      </c>
    </row>
    <row r="496" spans="1:12" x14ac:dyDescent="0.3">
      <c r="A496" s="2">
        <v>1495</v>
      </c>
      <c r="B496" s="7">
        <v>45612</v>
      </c>
      <c r="C496" s="8" t="s">
        <v>75</v>
      </c>
      <c r="D496" s="2" t="s">
        <v>32</v>
      </c>
      <c r="E496" s="2" t="s">
        <v>30</v>
      </c>
      <c r="F496" s="2" t="s">
        <v>31</v>
      </c>
      <c r="G496" s="2" t="s">
        <v>17</v>
      </c>
      <c r="H496" s="2">
        <v>6</v>
      </c>
      <c r="I496" s="4">
        <v>11073</v>
      </c>
      <c r="J496" s="4">
        <v>8520</v>
      </c>
      <c r="K496" s="4">
        <f>Tablo1[[#This Row],[Quantity]]*Tablo1[[#This Row],[Unit_Price]]</f>
        <v>66438</v>
      </c>
      <c r="L496" s="4">
        <f>Tablo1[[#This Row],[Sales]]-(Tablo1[[#This Row],[Quantity]]*Tablo1[[#This Row],[Unit_Cost]])</f>
        <v>15318</v>
      </c>
    </row>
    <row r="497" spans="1:12" x14ac:dyDescent="0.3">
      <c r="A497" s="2">
        <v>1496</v>
      </c>
      <c r="B497" s="7">
        <v>45543</v>
      </c>
      <c r="C497" s="8" t="s">
        <v>73</v>
      </c>
      <c r="D497" s="2" t="s">
        <v>35</v>
      </c>
      <c r="E497" s="2" t="s">
        <v>23</v>
      </c>
      <c r="F497" s="2" t="s">
        <v>46</v>
      </c>
      <c r="G497" s="2" t="s">
        <v>17</v>
      </c>
      <c r="H497" s="2">
        <v>3</v>
      </c>
      <c r="I497" s="4">
        <v>5044</v>
      </c>
      <c r="J497" s="4">
        <v>3196</v>
      </c>
      <c r="K497" s="4">
        <f>Tablo1[[#This Row],[Quantity]]*Tablo1[[#This Row],[Unit_Price]]</f>
        <v>15132</v>
      </c>
      <c r="L497" s="4">
        <f>Tablo1[[#This Row],[Sales]]-(Tablo1[[#This Row],[Quantity]]*Tablo1[[#This Row],[Unit_Cost]])</f>
        <v>5544</v>
      </c>
    </row>
    <row r="498" spans="1:12" x14ac:dyDescent="0.3">
      <c r="A498" s="2">
        <v>1497</v>
      </c>
      <c r="B498" s="7">
        <v>45442</v>
      </c>
      <c r="C498" s="8" t="s">
        <v>76</v>
      </c>
      <c r="D498" s="2" t="s">
        <v>15</v>
      </c>
      <c r="E498" s="2" t="s">
        <v>20</v>
      </c>
      <c r="F498" s="2" t="s">
        <v>14</v>
      </c>
      <c r="G498" s="2" t="s">
        <v>12</v>
      </c>
      <c r="H498" s="2">
        <v>5</v>
      </c>
      <c r="I498" s="4">
        <v>11660</v>
      </c>
      <c r="J498" s="4">
        <v>8426</v>
      </c>
      <c r="K498" s="4">
        <f>Tablo1[[#This Row],[Quantity]]*Tablo1[[#This Row],[Unit_Price]]</f>
        <v>58300</v>
      </c>
      <c r="L498" s="4">
        <f>Tablo1[[#This Row],[Sales]]-(Tablo1[[#This Row],[Quantity]]*Tablo1[[#This Row],[Unit_Cost]])</f>
        <v>16170</v>
      </c>
    </row>
    <row r="499" spans="1:12" x14ac:dyDescent="0.3">
      <c r="A499" s="2">
        <v>1498</v>
      </c>
      <c r="B499" s="7">
        <v>45597</v>
      </c>
      <c r="C499" s="8" t="s">
        <v>74</v>
      </c>
      <c r="D499" s="2" t="s">
        <v>41</v>
      </c>
      <c r="E499" s="2" t="s">
        <v>30</v>
      </c>
      <c r="F499" s="2" t="s">
        <v>39</v>
      </c>
      <c r="G499" s="2" t="s">
        <v>28</v>
      </c>
      <c r="H499" s="2">
        <v>1</v>
      </c>
      <c r="I499" s="4">
        <v>3569</v>
      </c>
      <c r="J499" s="4">
        <v>1957</v>
      </c>
      <c r="K499" s="4">
        <f>Tablo1[[#This Row],[Quantity]]*Tablo1[[#This Row],[Unit_Price]]</f>
        <v>3569</v>
      </c>
      <c r="L499" s="4">
        <f>Tablo1[[#This Row],[Sales]]-(Tablo1[[#This Row],[Quantity]]*Tablo1[[#This Row],[Unit_Cost]])</f>
        <v>1612</v>
      </c>
    </row>
    <row r="500" spans="1:12" x14ac:dyDescent="0.3">
      <c r="A500" s="2">
        <v>1499</v>
      </c>
      <c r="B500" s="7">
        <v>45490</v>
      </c>
      <c r="C500" s="8" t="s">
        <v>77</v>
      </c>
      <c r="D500" s="2" t="s">
        <v>44</v>
      </c>
      <c r="E500" s="2" t="s">
        <v>26</v>
      </c>
      <c r="F500" s="2" t="s">
        <v>24</v>
      </c>
      <c r="G500" s="2" t="s">
        <v>25</v>
      </c>
      <c r="H500" s="2">
        <v>1</v>
      </c>
      <c r="I500" s="4">
        <v>3675</v>
      </c>
      <c r="J500" s="4">
        <v>2152</v>
      </c>
      <c r="K500" s="4">
        <f>Tablo1[[#This Row],[Quantity]]*Tablo1[[#This Row],[Unit_Price]]</f>
        <v>3675</v>
      </c>
      <c r="L500" s="4">
        <f>Tablo1[[#This Row],[Sales]]-(Tablo1[[#This Row],[Quantity]]*Tablo1[[#This Row],[Unit_Cost]])</f>
        <v>1523</v>
      </c>
    </row>
    <row r="501" spans="1:12" x14ac:dyDescent="0.3">
      <c r="A501" s="2">
        <v>1500</v>
      </c>
      <c r="B501" s="7">
        <v>45315</v>
      </c>
      <c r="C501" s="8" t="s">
        <v>75</v>
      </c>
      <c r="D501" s="2" t="s">
        <v>22</v>
      </c>
      <c r="E501" s="2" t="s">
        <v>23</v>
      </c>
      <c r="F501" s="2" t="s">
        <v>39</v>
      </c>
      <c r="G501" s="2" t="s">
        <v>28</v>
      </c>
      <c r="H501" s="2">
        <v>5</v>
      </c>
      <c r="I501" s="4">
        <v>2309</v>
      </c>
      <c r="J501" s="4">
        <v>1437</v>
      </c>
      <c r="K501" s="4">
        <f>Tablo1[[#This Row],[Quantity]]*Tablo1[[#This Row],[Unit_Price]]</f>
        <v>11545</v>
      </c>
      <c r="L501" s="4">
        <f>Tablo1[[#This Row],[Sales]]-(Tablo1[[#This Row],[Quantity]]*Tablo1[[#This Row],[Unit_Cost]])</f>
        <v>4360</v>
      </c>
    </row>
    <row r="502" spans="1:12" x14ac:dyDescent="0.3">
      <c r="A502" s="2">
        <v>1501</v>
      </c>
      <c r="B502" s="7">
        <v>45409</v>
      </c>
      <c r="C502" s="8" t="s">
        <v>76</v>
      </c>
      <c r="D502" s="2" t="s">
        <v>22</v>
      </c>
      <c r="E502" s="2" t="s">
        <v>38</v>
      </c>
      <c r="F502" s="2" t="s">
        <v>31</v>
      </c>
      <c r="G502" s="2" t="s">
        <v>17</v>
      </c>
      <c r="H502" s="2">
        <v>4</v>
      </c>
      <c r="I502" s="4">
        <v>5181</v>
      </c>
      <c r="J502" s="4">
        <v>3032</v>
      </c>
      <c r="K502" s="4">
        <f>Tablo1[[#This Row],[Quantity]]*Tablo1[[#This Row],[Unit_Price]]</f>
        <v>20724</v>
      </c>
      <c r="L502" s="4">
        <f>Tablo1[[#This Row],[Sales]]-(Tablo1[[#This Row],[Quantity]]*Tablo1[[#This Row],[Unit_Cost]])</f>
        <v>8596</v>
      </c>
    </row>
    <row r="503" spans="1:12" x14ac:dyDescent="0.3">
      <c r="A503" s="2">
        <v>1502</v>
      </c>
      <c r="B503" s="7">
        <v>45533</v>
      </c>
      <c r="C503" s="8" t="s">
        <v>75</v>
      </c>
      <c r="D503" s="2" t="s">
        <v>19</v>
      </c>
      <c r="E503" s="2" t="s">
        <v>26</v>
      </c>
      <c r="F503" s="2" t="s">
        <v>46</v>
      </c>
      <c r="G503" s="2" t="s">
        <v>17</v>
      </c>
      <c r="H503" s="2">
        <v>4</v>
      </c>
      <c r="I503" s="4">
        <v>8667</v>
      </c>
      <c r="J503" s="4">
        <v>6501</v>
      </c>
      <c r="K503" s="4">
        <f>Tablo1[[#This Row],[Quantity]]*Tablo1[[#This Row],[Unit_Price]]</f>
        <v>34668</v>
      </c>
      <c r="L503" s="4">
        <f>Tablo1[[#This Row],[Sales]]-(Tablo1[[#This Row],[Quantity]]*Tablo1[[#This Row],[Unit_Cost]])</f>
        <v>8664</v>
      </c>
    </row>
    <row r="504" spans="1:12" x14ac:dyDescent="0.3">
      <c r="A504" s="2">
        <v>1503</v>
      </c>
      <c r="B504" s="7">
        <v>45534</v>
      </c>
      <c r="C504" s="8" t="s">
        <v>74</v>
      </c>
      <c r="D504" s="2" t="s">
        <v>13</v>
      </c>
      <c r="E504" s="2" t="s">
        <v>38</v>
      </c>
      <c r="F504" s="2" t="s">
        <v>33</v>
      </c>
      <c r="G504" s="2" t="s">
        <v>34</v>
      </c>
      <c r="H504" s="2">
        <v>8</v>
      </c>
      <c r="I504" s="4">
        <v>2052</v>
      </c>
      <c r="J504" s="4">
        <v>1423</v>
      </c>
      <c r="K504" s="4">
        <f>Tablo1[[#This Row],[Quantity]]*Tablo1[[#This Row],[Unit_Price]]</f>
        <v>16416</v>
      </c>
      <c r="L504" s="4">
        <f>Tablo1[[#This Row],[Sales]]-(Tablo1[[#This Row],[Quantity]]*Tablo1[[#This Row],[Unit_Cost]])</f>
        <v>5032</v>
      </c>
    </row>
    <row r="505" spans="1:12" x14ac:dyDescent="0.3">
      <c r="A505" s="2">
        <v>1504</v>
      </c>
      <c r="B505" s="7">
        <v>45494</v>
      </c>
      <c r="C505" s="8" t="s">
        <v>73</v>
      </c>
      <c r="D505" s="2" t="s">
        <v>10</v>
      </c>
      <c r="E505" s="2" t="s">
        <v>26</v>
      </c>
      <c r="F505" s="2" t="s">
        <v>21</v>
      </c>
      <c r="G505" s="2" t="s">
        <v>17</v>
      </c>
      <c r="H505" s="2">
        <v>4</v>
      </c>
      <c r="I505" s="4">
        <v>11276</v>
      </c>
      <c r="J505" s="4">
        <v>8167</v>
      </c>
      <c r="K505" s="4">
        <f>Tablo1[[#This Row],[Quantity]]*Tablo1[[#This Row],[Unit_Price]]</f>
        <v>45104</v>
      </c>
      <c r="L505" s="4">
        <f>Tablo1[[#This Row],[Sales]]-(Tablo1[[#This Row],[Quantity]]*Tablo1[[#This Row],[Unit_Cost]])</f>
        <v>12436</v>
      </c>
    </row>
    <row r="506" spans="1:12" x14ac:dyDescent="0.3">
      <c r="A506" s="2">
        <v>1505</v>
      </c>
      <c r="B506" s="7">
        <v>45497</v>
      </c>
      <c r="C506" s="8" t="s">
        <v>73</v>
      </c>
      <c r="D506" s="2" t="s">
        <v>10</v>
      </c>
      <c r="E506" s="2" t="s">
        <v>26</v>
      </c>
      <c r="F506" s="2" t="s">
        <v>27</v>
      </c>
      <c r="G506" s="2" t="s">
        <v>28</v>
      </c>
      <c r="H506" s="2">
        <v>2</v>
      </c>
      <c r="I506" s="4">
        <v>2850</v>
      </c>
      <c r="J506" s="4">
        <v>1476</v>
      </c>
      <c r="K506" s="4">
        <f>Tablo1[[#This Row],[Quantity]]*Tablo1[[#This Row],[Unit_Price]]</f>
        <v>5700</v>
      </c>
      <c r="L506" s="4">
        <f>Tablo1[[#This Row],[Sales]]-(Tablo1[[#This Row],[Quantity]]*Tablo1[[#This Row],[Unit_Cost]])</f>
        <v>2748</v>
      </c>
    </row>
    <row r="507" spans="1:12" x14ac:dyDescent="0.3">
      <c r="A507" s="2">
        <v>1506</v>
      </c>
      <c r="B507" s="7">
        <v>45603</v>
      </c>
      <c r="C507" s="8" t="s">
        <v>75</v>
      </c>
      <c r="D507" s="2" t="s">
        <v>22</v>
      </c>
      <c r="E507" s="2" t="s">
        <v>23</v>
      </c>
      <c r="F507" s="2" t="s">
        <v>40</v>
      </c>
      <c r="G507" s="2" t="s">
        <v>25</v>
      </c>
      <c r="H507" s="2">
        <v>6</v>
      </c>
      <c r="I507" s="4">
        <v>5166</v>
      </c>
      <c r="J507" s="4">
        <v>3514</v>
      </c>
      <c r="K507" s="4">
        <f>Tablo1[[#This Row],[Quantity]]*Tablo1[[#This Row],[Unit_Price]]</f>
        <v>30996</v>
      </c>
      <c r="L507" s="4">
        <f>Tablo1[[#This Row],[Sales]]-(Tablo1[[#This Row],[Quantity]]*Tablo1[[#This Row],[Unit_Cost]])</f>
        <v>9912</v>
      </c>
    </row>
    <row r="508" spans="1:12" x14ac:dyDescent="0.3">
      <c r="A508" s="2">
        <v>1507</v>
      </c>
      <c r="B508" s="7">
        <v>45369</v>
      </c>
      <c r="C508" s="8" t="s">
        <v>74</v>
      </c>
      <c r="D508" s="2" t="s">
        <v>19</v>
      </c>
      <c r="E508" s="2" t="s">
        <v>23</v>
      </c>
      <c r="F508" s="2" t="s">
        <v>48</v>
      </c>
      <c r="G508" s="2" t="s">
        <v>34</v>
      </c>
      <c r="H508" s="2">
        <v>5</v>
      </c>
      <c r="I508" s="4">
        <v>4240</v>
      </c>
      <c r="J508" s="4">
        <v>2342</v>
      </c>
      <c r="K508" s="4">
        <f>Tablo1[[#This Row],[Quantity]]*Tablo1[[#This Row],[Unit_Price]]</f>
        <v>21200</v>
      </c>
      <c r="L508" s="4">
        <f>Tablo1[[#This Row],[Sales]]-(Tablo1[[#This Row],[Quantity]]*Tablo1[[#This Row],[Unit_Cost]])</f>
        <v>9490</v>
      </c>
    </row>
    <row r="509" spans="1:12" x14ac:dyDescent="0.3">
      <c r="A509" s="2">
        <v>1508</v>
      </c>
      <c r="B509" s="7">
        <v>45443</v>
      </c>
      <c r="C509" s="8" t="s">
        <v>76</v>
      </c>
      <c r="D509" s="2" t="s">
        <v>41</v>
      </c>
      <c r="E509" s="2" t="s">
        <v>20</v>
      </c>
      <c r="F509" s="2" t="s">
        <v>16</v>
      </c>
      <c r="G509" s="2" t="s">
        <v>17</v>
      </c>
      <c r="H509" s="2">
        <v>6</v>
      </c>
      <c r="I509" s="4">
        <v>7153</v>
      </c>
      <c r="J509" s="4">
        <v>5436</v>
      </c>
      <c r="K509" s="4">
        <f>Tablo1[[#This Row],[Quantity]]*Tablo1[[#This Row],[Unit_Price]]</f>
        <v>42918</v>
      </c>
      <c r="L509" s="4">
        <f>Tablo1[[#This Row],[Sales]]-(Tablo1[[#This Row],[Quantity]]*Tablo1[[#This Row],[Unit_Cost]])</f>
        <v>10302</v>
      </c>
    </row>
    <row r="510" spans="1:12" x14ac:dyDescent="0.3">
      <c r="A510" s="2">
        <v>1509</v>
      </c>
      <c r="B510" s="7">
        <v>45489</v>
      </c>
      <c r="C510" s="8" t="s">
        <v>75</v>
      </c>
      <c r="D510" s="2" t="s">
        <v>32</v>
      </c>
      <c r="E510" s="2" t="s">
        <v>38</v>
      </c>
      <c r="F510" s="2" t="s">
        <v>47</v>
      </c>
      <c r="G510" s="2" t="s">
        <v>25</v>
      </c>
      <c r="H510" s="2">
        <v>1</v>
      </c>
      <c r="I510" s="4">
        <v>3121</v>
      </c>
      <c r="J510" s="4">
        <v>1909</v>
      </c>
      <c r="K510" s="4">
        <f>Tablo1[[#This Row],[Quantity]]*Tablo1[[#This Row],[Unit_Price]]</f>
        <v>3121</v>
      </c>
      <c r="L510" s="4">
        <f>Tablo1[[#This Row],[Sales]]-(Tablo1[[#This Row],[Quantity]]*Tablo1[[#This Row],[Unit_Cost]])</f>
        <v>1212</v>
      </c>
    </row>
    <row r="511" spans="1:12" x14ac:dyDescent="0.3">
      <c r="A511" s="2">
        <v>1510</v>
      </c>
      <c r="B511" s="7">
        <v>45392</v>
      </c>
      <c r="C511" s="8" t="s">
        <v>73</v>
      </c>
      <c r="D511" s="2" t="s">
        <v>15</v>
      </c>
      <c r="E511" s="2" t="s">
        <v>26</v>
      </c>
      <c r="F511" s="2" t="s">
        <v>46</v>
      </c>
      <c r="G511" s="2" t="s">
        <v>17</v>
      </c>
      <c r="H511" s="2">
        <v>3</v>
      </c>
      <c r="I511" s="4">
        <v>8656</v>
      </c>
      <c r="J511" s="4">
        <v>6187</v>
      </c>
      <c r="K511" s="4">
        <f>Tablo1[[#This Row],[Quantity]]*Tablo1[[#This Row],[Unit_Price]]</f>
        <v>25968</v>
      </c>
      <c r="L511" s="4">
        <f>Tablo1[[#This Row],[Sales]]-(Tablo1[[#This Row],[Quantity]]*Tablo1[[#This Row],[Unit_Cost]])</f>
        <v>7407</v>
      </c>
    </row>
    <row r="512" spans="1:12" x14ac:dyDescent="0.3">
      <c r="A512" s="2">
        <v>1511</v>
      </c>
      <c r="B512" s="7">
        <v>45619</v>
      </c>
      <c r="C512" s="8" t="s">
        <v>76</v>
      </c>
      <c r="D512" s="2" t="s">
        <v>43</v>
      </c>
      <c r="E512" s="2" t="s">
        <v>23</v>
      </c>
      <c r="F512" s="2" t="s">
        <v>37</v>
      </c>
      <c r="G512" s="2" t="s">
        <v>28</v>
      </c>
      <c r="H512" s="2">
        <v>7</v>
      </c>
      <c r="I512" s="4">
        <v>1337</v>
      </c>
      <c r="J512" s="4">
        <v>1044</v>
      </c>
      <c r="K512" s="4">
        <f>Tablo1[[#This Row],[Quantity]]*Tablo1[[#This Row],[Unit_Price]]</f>
        <v>9359</v>
      </c>
      <c r="L512" s="4">
        <f>Tablo1[[#This Row],[Sales]]-(Tablo1[[#This Row],[Quantity]]*Tablo1[[#This Row],[Unit_Cost]])</f>
        <v>2051</v>
      </c>
    </row>
    <row r="513" spans="1:12" x14ac:dyDescent="0.3">
      <c r="A513" s="2">
        <v>1512</v>
      </c>
      <c r="B513" s="7">
        <v>45476</v>
      </c>
      <c r="C513" s="8" t="s">
        <v>74</v>
      </c>
      <c r="D513" s="2" t="s">
        <v>15</v>
      </c>
      <c r="E513" s="2" t="s">
        <v>30</v>
      </c>
      <c r="F513" s="2" t="s">
        <v>47</v>
      </c>
      <c r="G513" s="2" t="s">
        <v>25</v>
      </c>
      <c r="H513" s="2">
        <v>4</v>
      </c>
      <c r="I513" s="4">
        <v>7739</v>
      </c>
      <c r="J513" s="4">
        <v>5469</v>
      </c>
      <c r="K513" s="4">
        <f>Tablo1[[#This Row],[Quantity]]*Tablo1[[#This Row],[Unit_Price]]</f>
        <v>30956</v>
      </c>
      <c r="L513" s="4">
        <f>Tablo1[[#This Row],[Sales]]-(Tablo1[[#This Row],[Quantity]]*Tablo1[[#This Row],[Unit_Cost]])</f>
        <v>9080</v>
      </c>
    </row>
    <row r="514" spans="1:12" x14ac:dyDescent="0.3">
      <c r="A514" s="2">
        <v>1513</v>
      </c>
      <c r="B514" s="7">
        <v>45445</v>
      </c>
      <c r="C514" s="8" t="s">
        <v>77</v>
      </c>
      <c r="D514" s="2" t="s">
        <v>44</v>
      </c>
      <c r="E514" s="2" t="s">
        <v>38</v>
      </c>
      <c r="F514" s="2" t="s">
        <v>21</v>
      </c>
      <c r="G514" s="2" t="s">
        <v>17</v>
      </c>
      <c r="H514" s="2">
        <v>3</v>
      </c>
      <c r="I514" s="4">
        <v>4413</v>
      </c>
      <c r="J514" s="4">
        <v>2799</v>
      </c>
      <c r="K514" s="4">
        <f>Tablo1[[#This Row],[Quantity]]*Tablo1[[#This Row],[Unit_Price]]</f>
        <v>13239</v>
      </c>
      <c r="L514" s="4">
        <f>Tablo1[[#This Row],[Sales]]-(Tablo1[[#This Row],[Quantity]]*Tablo1[[#This Row],[Unit_Cost]])</f>
        <v>4842</v>
      </c>
    </row>
    <row r="515" spans="1:12" x14ac:dyDescent="0.3">
      <c r="A515" s="2">
        <v>1514</v>
      </c>
      <c r="B515" s="7">
        <v>45297</v>
      </c>
      <c r="C515" s="8" t="s">
        <v>75</v>
      </c>
      <c r="D515" s="2" t="s">
        <v>35</v>
      </c>
      <c r="E515" s="2" t="s">
        <v>20</v>
      </c>
      <c r="F515" s="2" t="s">
        <v>40</v>
      </c>
      <c r="G515" s="2" t="s">
        <v>25</v>
      </c>
      <c r="H515" s="2">
        <v>3</v>
      </c>
      <c r="I515" s="4">
        <v>5358</v>
      </c>
      <c r="J515" s="4">
        <v>3410</v>
      </c>
      <c r="K515" s="4">
        <f>Tablo1[[#This Row],[Quantity]]*Tablo1[[#This Row],[Unit_Price]]</f>
        <v>16074</v>
      </c>
      <c r="L515" s="4">
        <f>Tablo1[[#This Row],[Sales]]-(Tablo1[[#This Row],[Quantity]]*Tablo1[[#This Row],[Unit_Cost]])</f>
        <v>5844</v>
      </c>
    </row>
    <row r="516" spans="1:12" x14ac:dyDescent="0.3">
      <c r="A516" s="2">
        <v>1515</v>
      </c>
      <c r="B516" s="7">
        <v>45492</v>
      </c>
      <c r="C516" s="8" t="s">
        <v>76</v>
      </c>
      <c r="D516" s="2" t="s">
        <v>19</v>
      </c>
      <c r="E516" s="2" t="s">
        <v>20</v>
      </c>
      <c r="F516" s="2" t="s">
        <v>46</v>
      </c>
      <c r="G516" s="2" t="s">
        <v>17</v>
      </c>
      <c r="H516" s="2">
        <v>4</v>
      </c>
      <c r="I516" s="4">
        <v>4526</v>
      </c>
      <c r="J516" s="4">
        <v>3270</v>
      </c>
      <c r="K516" s="4">
        <f>Tablo1[[#This Row],[Quantity]]*Tablo1[[#This Row],[Unit_Price]]</f>
        <v>18104</v>
      </c>
      <c r="L516" s="4">
        <f>Tablo1[[#This Row],[Sales]]-(Tablo1[[#This Row],[Quantity]]*Tablo1[[#This Row],[Unit_Cost]])</f>
        <v>5024</v>
      </c>
    </row>
    <row r="517" spans="1:12" x14ac:dyDescent="0.3">
      <c r="A517" s="2">
        <v>1516</v>
      </c>
      <c r="B517" s="7">
        <v>45445</v>
      </c>
      <c r="C517" s="8" t="s">
        <v>75</v>
      </c>
      <c r="D517" s="2" t="s">
        <v>35</v>
      </c>
      <c r="E517" s="2" t="s">
        <v>20</v>
      </c>
      <c r="F517" s="2" t="s">
        <v>47</v>
      </c>
      <c r="G517" s="2" t="s">
        <v>25</v>
      </c>
      <c r="H517" s="2">
        <v>3</v>
      </c>
      <c r="I517" s="4">
        <v>4091</v>
      </c>
      <c r="J517" s="4">
        <v>3267</v>
      </c>
      <c r="K517" s="4">
        <f>Tablo1[[#This Row],[Quantity]]*Tablo1[[#This Row],[Unit_Price]]</f>
        <v>12273</v>
      </c>
      <c r="L517" s="4">
        <f>Tablo1[[#This Row],[Sales]]-(Tablo1[[#This Row],[Quantity]]*Tablo1[[#This Row],[Unit_Cost]])</f>
        <v>2472</v>
      </c>
    </row>
    <row r="518" spans="1:12" x14ac:dyDescent="0.3">
      <c r="A518" s="2">
        <v>1517</v>
      </c>
      <c r="B518" s="7">
        <v>45410</v>
      </c>
      <c r="C518" s="8" t="s">
        <v>74</v>
      </c>
      <c r="D518" s="2" t="s">
        <v>35</v>
      </c>
      <c r="E518" s="2" t="s">
        <v>20</v>
      </c>
      <c r="F518" s="2" t="s">
        <v>49</v>
      </c>
      <c r="G518" s="2" t="s">
        <v>12</v>
      </c>
      <c r="H518" s="2">
        <v>5</v>
      </c>
      <c r="I518" s="4">
        <v>10331</v>
      </c>
      <c r="J518" s="4">
        <v>6319</v>
      </c>
      <c r="K518" s="4">
        <f>Tablo1[[#This Row],[Quantity]]*Tablo1[[#This Row],[Unit_Price]]</f>
        <v>51655</v>
      </c>
      <c r="L518" s="4">
        <f>Tablo1[[#This Row],[Sales]]-(Tablo1[[#This Row],[Quantity]]*Tablo1[[#This Row],[Unit_Cost]])</f>
        <v>20060</v>
      </c>
    </row>
    <row r="519" spans="1:12" x14ac:dyDescent="0.3">
      <c r="A519" s="2">
        <v>1518</v>
      </c>
      <c r="B519" s="7">
        <v>45432</v>
      </c>
      <c r="C519" s="8" t="s">
        <v>73</v>
      </c>
      <c r="D519" s="2" t="s">
        <v>15</v>
      </c>
      <c r="E519" s="2" t="s">
        <v>30</v>
      </c>
      <c r="F519" s="2" t="s">
        <v>39</v>
      </c>
      <c r="G519" s="2" t="s">
        <v>28</v>
      </c>
      <c r="H519" s="2">
        <v>7</v>
      </c>
      <c r="I519" s="4">
        <v>1876</v>
      </c>
      <c r="J519" s="4">
        <v>964</v>
      </c>
      <c r="K519" s="4">
        <f>Tablo1[[#This Row],[Quantity]]*Tablo1[[#This Row],[Unit_Price]]</f>
        <v>13132</v>
      </c>
      <c r="L519" s="4">
        <f>Tablo1[[#This Row],[Sales]]-(Tablo1[[#This Row],[Quantity]]*Tablo1[[#This Row],[Unit_Cost]])</f>
        <v>6384</v>
      </c>
    </row>
    <row r="520" spans="1:12" x14ac:dyDescent="0.3">
      <c r="A520" s="2">
        <v>1519</v>
      </c>
      <c r="B520" s="7">
        <v>45396</v>
      </c>
      <c r="C520" s="8" t="s">
        <v>73</v>
      </c>
      <c r="D520" s="2" t="s">
        <v>13</v>
      </c>
      <c r="E520" s="2" t="s">
        <v>38</v>
      </c>
      <c r="F520" s="2" t="s">
        <v>14</v>
      </c>
      <c r="G520" s="2" t="s">
        <v>12</v>
      </c>
      <c r="H520" s="2">
        <v>5</v>
      </c>
      <c r="I520" s="4">
        <v>12676</v>
      </c>
      <c r="J520" s="4">
        <v>6625</v>
      </c>
      <c r="K520" s="4">
        <f>Tablo1[[#This Row],[Quantity]]*Tablo1[[#This Row],[Unit_Price]]</f>
        <v>63380</v>
      </c>
      <c r="L520" s="4">
        <f>Tablo1[[#This Row],[Sales]]-(Tablo1[[#This Row],[Quantity]]*Tablo1[[#This Row],[Unit_Cost]])</f>
        <v>30255</v>
      </c>
    </row>
    <row r="521" spans="1:12" x14ac:dyDescent="0.3">
      <c r="A521" s="2">
        <v>1520</v>
      </c>
      <c r="B521" s="7">
        <v>45606</v>
      </c>
      <c r="C521" s="8" t="s">
        <v>75</v>
      </c>
      <c r="D521" s="2" t="s">
        <v>10</v>
      </c>
      <c r="E521" s="2" t="s">
        <v>38</v>
      </c>
      <c r="F521" s="2" t="s">
        <v>29</v>
      </c>
      <c r="G521" s="2" t="s">
        <v>25</v>
      </c>
      <c r="H521" s="2">
        <v>6</v>
      </c>
      <c r="I521" s="4">
        <v>5732</v>
      </c>
      <c r="J521" s="4">
        <v>2943</v>
      </c>
      <c r="K521" s="4">
        <f>Tablo1[[#This Row],[Quantity]]*Tablo1[[#This Row],[Unit_Price]]</f>
        <v>34392</v>
      </c>
      <c r="L521" s="4">
        <f>Tablo1[[#This Row],[Sales]]-(Tablo1[[#This Row],[Quantity]]*Tablo1[[#This Row],[Unit_Cost]])</f>
        <v>16734</v>
      </c>
    </row>
    <row r="522" spans="1:12" x14ac:dyDescent="0.3">
      <c r="A522" s="2">
        <v>1521</v>
      </c>
      <c r="B522" s="7">
        <v>45498</v>
      </c>
      <c r="C522" s="8" t="s">
        <v>74</v>
      </c>
      <c r="D522" s="2" t="s">
        <v>15</v>
      </c>
      <c r="E522" s="2" t="s">
        <v>30</v>
      </c>
      <c r="F522" s="2" t="s">
        <v>29</v>
      </c>
      <c r="G522" s="2" t="s">
        <v>25</v>
      </c>
      <c r="H522" s="2">
        <v>1</v>
      </c>
      <c r="I522" s="4">
        <v>1042</v>
      </c>
      <c r="J522" s="4">
        <v>766</v>
      </c>
      <c r="K522" s="4">
        <f>Tablo1[[#This Row],[Quantity]]*Tablo1[[#This Row],[Unit_Price]]</f>
        <v>1042</v>
      </c>
      <c r="L522" s="4">
        <f>Tablo1[[#This Row],[Sales]]-(Tablo1[[#This Row],[Quantity]]*Tablo1[[#This Row],[Unit_Cost]])</f>
        <v>276</v>
      </c>
    </row>
    <row r="523" spans="1:12" x14ac:dyDescent="0.3">
      <c r="A523" s="2">
        <v>1522</v>
      </c>
      <c r="B523" s="7">
        <v>45550</v>
      </c>
      <c r="C523" s="8" t="s">
        <v>76</v>
      </c>
      <c r="D523" s="2" t="s">
        <v>41</v>
      </c>
      <c r="E523" s="2" t="s">
        <v>26</v>
      </c>
      <c r="F523" s="2" t="s">
        <v>49</v>
      </c>
      <c r="G523" s="2" t="s">
        <v>12</v>
      </c>
      <c r="H523" s="2">
        <v>10</v>
      </c>
      <c r="I523" s="4">
        <v>23637</v>
      </c>
      <c r="J523" s="4">
        <v>13464</v>
      </c>
      <c r="K523" s="4">
        <f>Tablo1[[#This Row],[Quantity]]*Tablo1[[#This Row],[Unit_Price]]</f>
        <v>236370</v>
      </c>
      <c r="L523" s="4">
        <f>Tablo1[[#This Row],[Sales]]-(Tablo1[[#This Row],[Quantity]]*Tablo1[[#This Row],[Unit_Cost]])</f>
        <v>101730</v>
      </c>
    </row>
    <row r="524" spans="1:12" x14ac:dyDescent="0.3">
      <c r="A524" s="2">
        <v>1523</v>
      </c>
      <c r="B524" s="7">
        <v>45463</v>
      </c>
      <c r="C524" s="8" t="s">
        <v>75</v>
      </c>
      <c r="D524" s="2" t="s">
        <v>22</v>
      </c>
      <c r="E524" s="2" t="s">
        <v>23</v>
      </c>
      <c r="F524" s="2" t="s">
        <v>33</v>
      </c>
      <c r="G524" s="2" t="s">
        <v>34</v>
      </c>
      <c r="H524" s="2">
        <v>5</v>
      </c>
      <c r="I524" s="4">
        <v>1940</v>
      </c>
      <c r="J524" s="4">
        <v>978</v>
      </c>
      <c r="K524" s="4">
        <f>Tablo1[[#This Row],[Quantity]]*Tablo1[[#This Row],[Unit_Price]]</f>
        <v>9700</v>
      </c>
      <c r="L524" s="4">
        <f>Tablo1[[#This Row],[Sales]]-(Tablo1[[#This Row],[Quantity]]*Tablo1[[#This Row],[Unit_Cost]])</f>
        <v>4810</v>
      </c>
    </row>
    <row r="525" spans="1:12" x14ac:dyDescent="0.3">
      <c r="A525" s="2">
        <v>1524</v>
      </c>
      <c r="B525" s="7">
        <v>45419</v>
      </c>
      <c r="C525" s="8" t="s">
        <v>73</v>
      </c>
      <c r="D525" s="2" t="s">
        <v>41</v>
      </c>
      <c r="E525" s="2" t="s">
        <v>23</v>
      </c>
      <c r="F525" s="2" t="s">
        <v>11</v>
      </c>
      <c r="G525" s="2" t="s">
        <v>12</v>
      </c>
      <c r="H525" s="2">
        <v>4</v>
      </c>
      <c r="I525" s="4">
        <v>7467</v>
      </c>
      <c r="J525" s="4">
        <v>3866</v>
      </c>
      <c r="K525" s="4">
        <f>Tablo1[[#This Row],[Quantity]]*Tablo1[[#This Row],[Unit_Price]]</f>
        <v>29868</v>
      </c>
      <c r="L525" s="4">
        <f>Tablo1[[#This Row],[Sales]]-(Tablo1[[#This Row],[Quantity]]*Tablo1[[#This Row],[Unit_Cost]])</f>
        <v>14404</v>
      </c>
    </row>
    <row r="526" spans="1:12" x14ac:dyDescent="0.3">
      <c r="A526" s="2">
        <v>1525</v>
      </c>
      <c r="B526" s="7">
        <v>45382</v>
      </c>
      <c r="C526" s="8" t="s">
        <v>76</v>
      </c>
      <c r="D526" s="2" t="s">
        <v>22</v>
      </c>
      <c r="E526" s="2" t="s">
        <v>20</v>
      </c>
      <c r="F526" s="2" t="s">
        <v>11</v>
      </c>
      <c r="G526" s="2" t="s">
        <v>12</v>
      </c>
      <c r="H526" s="2">
        <v>9</v>
      </c>
      <c r="I526" s="4">
        <v>14548</v>
      </c>
      <c r="J526" s="4">
        <v>10103</v>
      </c>
      <c r="K526" s="4">
        <f>Tablo1[[#This Row],[Quantity]]*Tablo1[[#This Row],[Unit_Price]]</f>
        <v>130932</v>
      </c>
      <c r="L526" s="4">
        <f>Tablo1[[#This Row],[Sales]]-(Tablo1[[#This Row],[Quantity]]*Tablo1[[#This Row],[Unit_Cost]])</f>
        <v>40005</v>
      </c>
    </row>
    <row r="527" spans="1:12" x14ac:dyDescent="0.3">
      <c r="A527" s="2">
        <v>1526</v>
      </c>
      <c r="B527" s="7">
        <v>45621</v>
      </c>
      <c r="C527" s="8" t="s">
        <v>74</v>
      </c>
      <c r="D527" s="2" t="s">
        <v>43</v>
      </c>
      <c r="E527" s="2" t="s">
        <v>26</v>
      </c>
      <c r="F527" s="2" t="s">
        <v>39</v>
      </c>
      <c r="G527" s="2" t="s">
        <v>28</v>
      </c>
      <c r="H527" s="2">
        <v>5</v>
      </c>
      <c r="I527" s="4">
        <v>1566</v>
      </c>
      <c r="J527" s="4">
        <v>890</v>
      </c>
      <c r="K527" s="4">
        <f>Tablo1[[#This Row],[Quantity]]*Tablo1[[#This Row],[Unit_Price]]</f>
        <v>7830</v>
      </c>
      <c r="L527" s="4">
        <f>Tablo1[[#This Row],[Sales]]-(Tablo1[[#This Row],[Quantity]]*Tablo1[[#This Row],[Unit_Cost]])</f>
        <v>3380</v>
      </c>
    </row>
    <row r="528" spans="1:12" x14ac:dyDescent="0.3">
      <c r="A528" s="2">
        <v>1527</v>
      </c>
      <c r="B528" s="7">
        <v>45635</v>
      </c>
      <c r="C528" s="8" t="s">
        <v>77</v>
      </c>
      <c r="D528" s="2" t="s">
        <v>15</v>
      </c>
      <c r="E528" s="2" t="s">
        <v>38</v>
      </c>
      <c r="F528" s="2" t="s">
        <v>16</v>
      </c>
      <c r="G528" s="2" t="s">
        <v>17</v>
      </c>
      <c r="H528" s="2">
        <v>1</v>
      </c>
      <c r="I528" s="4">
        <v>6040</v>
      </c>
      <c r="J528" s="4">
        <v>3663</v>
      </c>
      <c r="K528" s="4">
        <f>Tablo1[[#This Row],[Quantity]]*Tablo1[[#This Row],[Unit_Price]]</f>
        <v>6040</v>
      </c>
      <c r="L528" s="4">
        <f>Tablo1[[#This Row],[Sales]]-(Tablo1[[#This Row],[Quantity]]*Tablo1[[#This Row],[Unit_Cost]])</f>
        <v>2377</v>
      </c>
    </row>
    <row r="529" spans="1:12" x14ac:dyDescent="0.3">
      <c r="A529" s="2">
        <v>1528</v>
      </c>
      <c r="B529" s="7">
        <v>45637</v>
      </c>
      <c r="C529" s="8" t="s">
        <v>75</v>
      </c>
      <c r="D529" s="2" t="s">
        <v>22</v>
      </c>
      <c r="E529" s="2" t="s">
        <v>30</v>
      </c>
      <c r="F529" s="2" t="s">
        <v>39</v>
      </c>
      <c r="G529" s="2" t="s">
        <v>28</v>
      </c>
      <c r="H529" s="2">
        <v>3</v>
      </c>
      <c r="I529" s="4">
        <v>1238</v>
      </c>
      <c r="J529" s="4">
        <v>893</v>
      </c>
      <c r="K529" s="4">
        <f>Tablo1[[#This Row],[Quantity]]*Tablo1[[#This Row],[Unit_Price]]</f>
        <v>3714</v>
      </c>
      <c r="L529" s="4">
        <f>Tablo1[[#This Row],[Sales]]-(Tablo1[[#This Row],[Quantity]]*Tablo1[[#This Row],[Unit_Cost]])</f>
        <v>1035</v>
      </c>
    </row>
    <row r="530" spans="1:12" x14ac:dyDescent="0.3">
      <c r="A530" s="2">
        <v>1529</v>
      </c>
      <c r="B530" s="7">
        <v>45560</v>
      </c>
      <c r="C530" s="8" t="s">
        <v>76</v>
      </c>
      <c r="D530" s="2" t="s">
        <v>13</v>
      </c>
      <c r="E530" s="2" t="s">
        <v>38</v>
      </c>
      <c r="F530" s="2" t="s">
        <v>33</v>
      </c>
      <c r="G530" s="2" t="s">
        <v>34</v>
      </c>
      <c r="H530" s="2">
        <v>1</v>
      </c>
      <c r="I530" s="4">
        <v>1343</v>
      </c>
      <c r="J530" s="4">
        <v>675</v>
      </c>
      <c r="K530" s="4">
        <f>Tablo1[[#This Row],[Quantity]]*Tablo1[[#This Row],[Unit_Price]]</f>
        <v>1343</v>
      </c>
      <c r="L530" s="4">
        <f>Tablo1[[#This Row],[Sales]]-(Tablo1[[#This Row],[Quantity]]*Tablo1[[#This Row],[Unit_Cost]])</f>
        <v>668</v>
      </c>
    </row>
    <row r="531" spans="1:12" x14ac:dyDescent="0.3">
      <c r="A531" s="2">
        <v>1530</v>
      </c>
      <c r="B531" s="7">
        <v>45416</v>
      </c>
      <c r="C531" s="8" t="s">
        <v>75</v>
      </c>
      <c r="D531" s="2" t="s">
        <v>43</v>
      </c>
      <c r="E531" s="2" t="s">
        <v>38</v>
      </c>
      <c r="F531" s="2" t="s">
        <v>16</v>
      </c>
      <c r="G531" s="2" t="s">
        <v>17</v>
      </c>
      <c r="H531" s="2">
        <v>8</v>
      </c>
      <c r="I531" s="4">
        <v>4816</v>
      </c>
      <c r="J531" s="4">
        <v>2710</v>
      </c>
      <c r="K531" s="4">
        <f>Tablo1[[#This Row],[Quantity]]*Tablo1[[#This Row],[Unit_Price]]</f>
        <v>38528</v>
      </c>
      <c r="L531" s="4">
        <f>Tablo1[[#This Row],[Sales]]-(Tablo1[[#This Row],[Quantity]]*Tablo1[[#This Row],[Unit_Cost]])</f>
        <v>16848</v>
      </c>
    </row>
    <row r="532" spans="1:12" x14ac:dyDescent="0.3">
      <c r="A532" s="2">
        <v>1531</v>
      </c>
      <c r="B532" s="7">
        <v>45471</v>
      </c>
      <c r="C532" s="8" t="s">
        <v>74</v>
      </c>
      <c r="D532" s="2" t="s">
        <v>43</v>
      </c>
      <c r="E532" s="2" t="s">
        <v>23</v>
      </c>
      <c r="F532" s="2" t="s">
        <v>31</v>
      </c>
      <c r="G532" s="2" t="s">
        <v>17</v>
      </c>
      <c r="H532" s="2">
        <v>3</v>
      </c>
      <c r="I532" s="4">
        <v>6663</v>
      </c>
      <c r="J532" s="4">
        <v>4850</v>
      </c>
      <c r="K532" s="4">
        <f>Tablo1[[#This Row],[Quantity]]*Tablo1[[#This Row],[Unit_Price]]</f>
        <v>19989</v>
      </c>
      <c r="L532" s="4">
        <f>Tablo1[[#This Row],[Sales]]-(Tablo1[[#This Row],[Quantity]]*Tablo1[[#This Row],[Unit_Cost]])</f>
        <v>5439</v>
      </c>
    </row>
    <row r="533" spans="1:12" x14ac:dyDescent="0.3">
      <c r="A533" s="2">
        <v>1532</v>
      </c>
      <c r="B533" s="7">
        <v>45639</v>
      </c>
      <c r="C533" s="8" t="s">
        <v>73</v>
      </c>
      <c r="D533" s="2" t="s">
        <v>13</v>
      </c>
      <c r="E533" s="2" t="s">
        <v>30</v>
      </c>
      <c r="F533" s="2" t="s">
        <v>49</v>
      </c>
      <c r="G533" s="2" t="s">
        <v>12</v>
      </c>
      <c r="H533" s="2">
        <v>6</v>
      </c>
      <c r="I533" s="4">
        <v>23256</v>
      </c>
      <c r="J533" s="4">
        <v>15592</v>
      </c>
      <c r="K533" s="4">
        <f>Tablo1[[#This Row],[Quantity]]*Tablo1[[#This Row],[Unit_Price]]</f>
        <v>139536</v>
      </c>
      <c r="L533" s="4">
        <f>Tablo1[[#This Row],[Sales]]-(Tablo1[[#This Row],[Quantity]]*Tablo1[[#This Row],[Unit_Cost]])</f>
        <v>45984</v>
      </c>
    </row>
    <row r="534" spans="1:12" x14ac:dyDescent="0.3">
      <c r="A534" s="2">
        <v>1533</v>
      </c>
      <c r="B534" s="7">
        <v>45388</v>
      </c>
      <c r="C534" s="8" t="s">
        <v>73</v>
      </c>
      <c r="D534" s="2" t="s">
        <v>43</v>
      </c>
      <c r="E534" s="2" t="s">
        <v>20</v>
      </c>
      <c r="F534" s="2" t="s">
        <v>50</v>
      </c>
      <c r="G534" s="2" t="s">
        <v>28</v>
      </c>
      <c r="H534" s="2">
        <v>10</v>
      </c>
      <c r="I534" s="4">
        <v>781</v>
      </c>
      <c r="J534" s="4">
        <v>600</v>
      </c>
      <c r="K534" s="4">
        <f>Tablo1[[#This Row],[Quantity]]*Tablo1[[#This Row],[Unit_Price]]</f>
        <v>7810</v>
      </c>
      <c r="L534" s="4">
        <f>Tablo1[[#This Row],[Sales]]-(Tablo1[[#This Row],[Quantity]]*Tablo1[[#This Row],[Unit_Cost]])</f>
        <v>1810</v>
      </c>
    </row>
    <row r="535" spans="1:12" x14ac:dyDescent="0.3">
      <c r="A535" s="2">
        <v>1534</v>
      </c>
      <c r="B535" s="7">
        <v>45403</v>
      </c>
      <c r="C535" s="8" t="s">
        <v>75</v>
      </c>
      <c r="D535" s="2" t="s">
        <v>13</v>
      </c>
      <c r="E535" s="2" t="s">
        <v>23</v>
      </c>
      <c r="F535" s="2" t="s">
        <v>42</v>
      </c>
      <c r="G535" s="2" t="s">
        <v>12</v>
      </c>
      <c r="H535" s="2">
        <v>3</v>
      </c>
      <c r="I535" s="4">
        <v>11461</v>
      </c>
      <c r="J535" s="4">
        <v>8649</v>
      </c>
      <c r="K535" s="4">
        <f>Tablo1[[#This Row],[Quantity]]*Tablo1[[#This Row],[Unit_Price]]</f>
        <v>34383</v>
      </c>
      <c r="L535" s="4">
        <f>Tablo1[[#This Row],[Sales]]-(Tablo1[[#This Row],[Quantity]]*Tablo1[[#This Row],[Unit_Cost]])</f>
        <v>8436</v>
      </c>
    </row>
    <row r="536" spans="1:12" x14ac:dyDescent="0.3">
      <c r="A536" s="2">
        <v>1535</v>
      </c>
      <c r="B536" s="7">
        <v>45483</v>
      </c>
      <c r="C536" s="8" t="s">
        <v>74</v>
      </c>
      <c r="D536" s="2" t="s">
        <v>41</v>
      </c>
      <c r="E536" s="2" t="s">
        <v>30</v>
      </c>
      <c r="F536" s="2" t="s">
        <v>27</v>
      </c>
      <c r="G536" s="2" t="s">
        <v>28</v>
      </c>
      <c r="H536" s="2">
        <v>5</v>
      </c>
      <c r="I536" s="4">
        <v>3257</v>
      </c>
      <c r="J536" s="4">
        <v>2165</v>
      </c>
      <c r="K536" s="4">
        <f>Tablo1[[#This Row],[Quantity]]*Tablo1[[#This Row],[Unit_Price]]</f>
        <v>16285</v>
      </c>
      <c r="L536" s="4">
        <f>Tablo1[[#This Row],[Sales]]-(Tablo1[[#This Row],[Quantity]]*Tablo1[[#This Row],[Unit_Cost]])</f>
        <v>5460</v>
      </c>
    </row>
    <row r="537" spans="1:12" x14ac:dyDescent="0.3">
      <c r="A537" s="2">
        <v>1536</v>
      </c>
      <c r="B537" s="7">
        <v>45483</v>
      </c>
      <c r="C537" s="8" t="s">
        <v>76</v>
      </c>
      <c r="D537" s="2" t="s">
        <v>22</v>
      </c>
      <c r="E537" s="2" t="s">
        <v>20</v>
      </c>
      <c r="F537" s="2" t="s">
        <v>50</v>
      </c>
      <c r="G537" s="2" t="s">
        <v>28</v>
      </c>
      <c r="H537" s="2">
        <v>8</v>
      </c>
      <c r="I537" s="4">
        <v>3355</v>
      </c>
      <c r="J537" s="4">
        <v>2590</v>
      </c>
      <c r="K537" s="4">
        <f>Tablo1[[#This Row],[Quantity]]*Tablo1[[#This Row],[Unit_Price]]</f>
        <v>26840</v>
      </c>
      <c r="L537" s="4">
        <f>Tablo1[[#This Row],[Sales]]-(Tablo1[[#This Row],[Quantity]]*Tablo1[[#This Row],[Unit_Cost]])</f>
        <v>6120</v>
      </c>
    </row>
    <row r="538" spans="1:12" x14ac:dyDescent="0.3">
      <c r="A538" s="2">
        <v>1537</v>
      </c>
      <c r="B538" s="7">
        <v>45296</v>
      </c>
      <c r="C538" s="8" t="s">
        <v>75</v>
      </c>
      <c r="D538" s="2" t="s">
        <v>10</v>
      </c>
      <c r="E538" s="2" t="s">
        <v>23</v>
      </c>
      <c r="F538" s="2" t="s">
        <v>11</v>
      </c>
      <c r="G538" s="2" t="s">
        <v>12</v>
      </c>
      <c r="H538" s="2">
        <v>10</v>
      </c>
      <c r="I538" s="4">
        <v>12926</v>
      </c>
      <c r="J538" s="4">
        <v>6601</v>
      </c>
      <c r="K538" s="4">
        <f>Tablo1[[#This Row],[Quantity]]*Tablo1[[#This Row],[Unit_Price]]</f>
        <v>129260</v>
      </c>
      <c r="L538" s="4">
        <f>Tablo1[[#This Row],[Sales]]-(Tablo1[[#This Row],[Quantity]]*Tablo1[[#This Row],[Unit_Cost]])</f>
        <v>63250</v>
      </c>
    </row>
    <row r="539" spans="1:12" x14ac:dyDescent="0.3">
      <c r="A539" s="2">
        <v>1538</v>
      </c>
      <c r="B539" s="7">
        <v>45568</v>
      </c>
      <c r="C539" s="8" t="s">
        <v>73</v>
      </c>
      <c r="D539" s="2" t="s">
        <v>43</v>
      </c>
      <c r="E539" s="2" t="s">
        <v>26</v>
      </c>
      <c r="F539" s="2" t="s">
        <v>48</v>
      </c>
      <c r="G539" s="2" t="s">
        <v>34</v>
      </c>
      <c r="H539" s="2">
        <v>9</v>
      </c>
      <c r="I539" s="4">
        <v>3602</v>
      </c>
      <c r="J539" s="4">
        <v>2346</v>
      </c>
      <c r="K539" s="4">
        <f>Tablo1[[#This Row],[Quantity]]*Tablo1[[#This Row],[Unit_Price]]</f>
        <v>32418</v>
      </c>
      <c r="L539" s="4">
        <f>Tablo1[[#This Row],[Sales]]-(Tablo1[[#This Row],[Quantity]]*Tablo1[[#This Row],[Unit_Cost]])</f>
        <v>11304</v>
      </c>
    </row>
    <row r="540" spans="1:12" x14ac:dyDescent="0.3">
      <c r="A540" s="2">
        <v>1539</v>
      </c>
      <c r="B540" s="7">
        <v>45305</v>
      </c>
      <c r="C540" s="8" t="s">
        <v>76</v>
      </c>
      <c r="D540" s="2" t="s">
        <v>35</v>
      </c>
      <c r="E540" s="2" t="s">
        <v>38</v>
      </c>
      <c r="F540" s="2" t="s">
        <v>50</v>
      </c>
      <c r="G540" s="2" t="s">
        <v>28</v>
      </c>
      <c r="H540" s="2">
        <v>3</v>
      </c>
      <c r="I540" s="4">
        <v>1817</v>
      </c>
      <c r="J540" s="4">
        <v>1087</v>
      </c>
      <c r="K540" s="4">
        <f>Tablo1[[#This Row],[Quantity]]*Tablo1[[#This Row],[Unit_Price]]</f>
        <v>5451</v>
      </c>
      <c r="L540" s="4">
        <f>Tablo1[[#This Row],[Sales]]-(Tablo1[[#This Row],[Quantity]]*Tablo1[[#This Row],[Unit_Cost]])</f>
        <v>2190</v>
      </c>
    </row>
    <row r="541" spans="1:12" x14ac:dyDescent="0.3">
      <c r="A541" s="2">
        <v>1540</v>
      </c>
      <c r="B541" s="7">
        <v>45606</v>
      </c>
      <c r="C541" s="8" t="s">
        <v>74</v>
      </c>
      <c r="D541" s="2" t="s">
        <v>22</v>
      </c>
      <c r="E541" s="2" t="s">
        <v>20</v>
      </c>
      <c r="F541" s="2" t="s">
        <v>37</v>
      </c>
      <c r="G541" s="2" t="s">
        <v>28</v>
      </c>
      <c r="H541" s="2">
        <v>2</v>
      </c>
      <c r="I541" s="4">
        <v>2383</v>
      </c>
      <c r="J541" s="4">
        <v>1325</v>
      </c>
      <c r="K541" s="4">
        <f>Tablo1[[#This Row],[Quantity]]*Tablo1[[#This Row],[Unit_Price]]</f>
        <v>4766</v>
      </c>
      <c r="L541" s="4">
        <f>Tablo1[[#This Row],[Sales]]-(Tablo1[[#This Row],[Quantity]]*Tablo1[[#This Row],[Unit_Cost]])</f>
        <v>2116</v>
      </c>
    </row>
    <row r="542" spans="1:12" x14ac:dyDescent="0.3">
      <c r="A542" s="2">
        <v>1541</v>
      </c>
      <c r="B542" s="7">
        <v>45395</v>
      </c>
      <c r="C542" s="8" t="s">
        <v>77</v>
      </c>
      <c r="D542" s="2" t="s">
        <v>41</v>
      </c>
      <c r="E542" s="2" t="s">
        <v>23</v>
      </c>
      <c r="F542" s="2" t="s">
        <v>16</v>
      </c>
      <c r="G542" s="2" t="s">
        <v>17</v>
      </c>
      <c r="H542" s="2">
        <v>2</v>
      </c>
      <c r="I542" s="4">
        <v>9945</v>
      </c>
      <c r="J542" s="4">
        <v>5657</v>
      </c>
      <c r="K542" s="4">
        <f>Tablo1[[#This Row],[Quantity]]*Tablo1[[#This Row],[Unit_Price]]</f>
        <v>19890</v>
      </c>
      <c r="L542" s="4">
        <f>Tablo1[[#This Row],[Sales]]-(Tablo1[[#This Row],[Quantity]]*Tablo1[[#This Row],[Unit_Cost]])</f>
        <v>8576</v>
      </c>
    </row>
    <row r="543" spans="1:12" x14ac:dyDescent="0.3">
      <c r="A543" s="2">
        <v>1542</v>
      </c>
      <c r="B543" s="7">
        <v>45479</v>
      </c>
      <c r="C543" s="8" t="s">
        <v>75</v>
      </c>
      <c r="D543" s="2" t="s">
        <v>32</v>
      </c>
      <c r="E543" s="2" t="s">
        <v>38</v>
      </c>
      <c r="F543" s="2" t="s">
        <v>36</v>
      </c>
      <c r="G543" s="2" t="s">
        <v>34</v>
      </c>
      <c r="H543" s="2">
        <v>4</v>
      </c>
      <c r="I543" s="4">
        <v>4359</v>
      </c>
      <c r="J543" s="4">
        <v>2827</v>
      </c>
      <c r="K543" s="4">
        <f>Tablo1[[#This Row],[Quantity]]*Tablo1[[#This Row],[Unit_Price]]</f>
        <v>17436</v>
      </c>
      <c r="L543" s="4">
        <f>Tablo1[[#This Row],[Sales]]-(Tablo1[[#This Row],[Quantity]]*Tablo1[[#This Row],[Unit_Cost]])</f>
        <v>6128</v>
      </c>
    </row>
    <row r="544" spans="1:12" x14ac:dyDescent="0.3">
      <c r="A544" s="2">
        <v>1543</v>
      </c>
      <c r="B544" s="7">
        <v>45429</v>
      </c>
      <c r="C544" s="8" t="s">
        <v>76</v>
      </c>
      <c r="D544" s="2" t="s">
        <v>10</v>
      </c>
      <c r="E544" s="2" t="s">
        <v>30</v>
      </c>
      <c r="F544" s="2" t="s">
        <v>21</v>
      </c>
      <c r="G544" s="2" t="s">
        <v>17</v>
      </c>
      <c r="H544" s="2">
        <v>3</v>
      </c>
      <c r="I544" s="4">
        <v>11140</v>
      </c>
      <c r="J544" s="4">
        <v>8457</v>
      </c>
      <c r="K544" s="4">
        <f>Tablo1[[#This Row],[Quantity]]*Tablo1[[#This Row],[Unit_Price]]</f>
        <v>33420</v>
      </c>
      <c r="L544" s="4">
        <f>Tablo1[[#This Row],[Sales]]-(Tablo1[[#This Row],[Quantity]]*Tablo1[[#This Row],[Unit_Cost]])</f>
        <v>8049</v>
      </c>
    </row>
    <row r="545" spans="1:12" x14ac:dyDescent="0.3">
      <c r="A545" s="2">
        <v>1544</v>
      </c>
      <c r="B545" s="7">
        <v>45603</v>
      </c>
      <c r="C545" s="8" t="s">
        <v>75</v>
      </c>
      <c r="D545" s="2" t="s">
        <v>15</v>
      </c>
      <c r="E545" s="2" t="s">
        <v>26</v>
      </c>
      <c r="F545" s="2" t="s">
        <v>42</v>
      </c>
      <c r="G545" s="2" t="s">
        <v>12</v>
      </c>
      <c r="H545" s="2">
        <v>1</v>
      </c>
      <c r="I545" s="4">
        <v>23231</v>
      </c>
      <c r="J545" s="4">
        <v>12197</v>
      </c>
      <c r="K545" s="4">
        <f>Tablo1[[#This Row],[Quantity]]*Tablo1[[#This Row],[Unit_Price]]</f>
        <v>23231</v>
      </c>
      <c r="L545" s="4">
        <f>Tablo1[[#This Row],[Sales]]-(Tablo1[[#This Row],[Quantity]]*Tablo1[[#This Row],[Unit_Cost]])</f>
        <v>11034</v>
      </c>
    </row>
    <row r="546" spans="1:12" x14ac:dyDescent="0.3">
      <c r="A546" s="2">
        <v>1545</v>
      </c>
      <c r="B546" s="7">
        <v>45580</v>
      </c>
      <c r="C546" s="8" t="s">
        <v>74</v>
      </c>
      <c r="D546" s="2" t="s">
        <v>35</v>
      </c>
      <c r="E546" s="2" t="s">
        <v>26</v>
      </c>
      <c r="F546" s="2" t="s">
        <v>50</v>
      </c>
      <c r="G546" s="2" t="s">
        <v>28</v>
      </c>
      <c r="H546" s="2">
        <v>8</v>
      </c>
      <c r="I546" s="4">
        <v>1452</v>
      </c>
      <c r="J546" s="4">
        <v>870</v>
      </c>
      <c r="K546" s="4">
        <f>Tablo1[[#This Row],[Quantity]]*Tablo1[[#This Row],[Unit_Price]]</f>
        <v>11616</v>
      </c>
      <c r="L546" s="4">
        <f>Tablo1[[#This Row],[Sales]]-(Tablo1[[#This Row],[Quantity]]*Tablo1[[#This Row],[Unit_Cost]])</f>
        <v>4656</v>
      </c>
    </row>
    <row r="547" spans="1:12" x14ac:dyDescent="0.3">
      <c r="A547" s="2">
        <v>1546</v>
      </c>
      <c r="B547" s="7">
        <v>45409</v>
      </c>
      <c r="C547" s="8" t="s">
        <v>73</v>
      </c>
      <c r="D547" s="2" t="s">
        <v>13</v>
      </c>
      <c r="E547" s="2" t="s">
        <v>23</v>
      </c>
      <c r="F547" s="2" t="s">
        <v>16</v>
      </c>
      <c r="G547" s="2" t="s">
        <v>17</v>
      </c>
      <c r="H547" s="2">
        <v>8</v>
      </c>
      <c r="I547" s="4">
        <v>7467</v>
      </c>
      <c r="J547" s="4">
        <v>3974</v>
      </c>
      <c r="K547" s="4">
        <f>Tablo1[[#This Row],[Quantity]]*Tablo1[[#This Row],[Unit_Price]]</f>
        <v>59736</v>
      </c>
      <c r="L547" s="4">
        <f>Tablo1[[#This Row],[Sales]]-(Tablo1[[#This Row],[Quantity]]*Tablo1[[#This Row],[Unit_Cost]])</f>
        <v>27944</v>
      </c>
    </row>
    <row r="548" spans="1:12" x14ac:dyDescent="0.3">
      <c r="A548" s="2">
        <v>1547</v>
      </c>
      <c r="B548" s="7">
        <v>45561</v>
      </c>
      <c r="C548" s="8" t="s">
        <v>73</v>
      </c>
      <c r="D548" s="2" t="s">
        <v>32</v>
      </c>
      <c r="E548" s="2" t="s">
        <v>30</v>
      </c>
      <c r="F548" s="2" t="s">
        <v>16</v>
      </c>
      <c r="G548" s="2" t="s">
        <v>17</v>
      </c>
      <c r="H548" s="2">
        <v>10</v>
      </c>
      <c r="I548" s="4">
        <v>7356</v>
      </c>
      <c r="J548" s="4">
        <v>5219</v>
      </c>
      <c r="K548" s="4">
        <f>Tablo1[[#This Row],[Quantity]]*Tablo1[[#This Row],[Unit_Price]]</f>
        <v>73560</v>
      </c>
      <c r="L548" s="4">
        <f>Tablo1[[#This Row],[Sales]]-(Tablo1[[#This Row],[Quantity]]*Tablo1[[#This Row],[Unit_Cost]])</f>
        <v>21370</v>
      </c>
    </row>
    <row r="549" spans="1:12" x14ac:dyDescent="0.3">
      <c r="A549" s="2">
        <v>1548</v>
      </c>
      <c r="B549" s="7">
        <v>45319</v>
      </c>
      <c r="C549" s="8" t="s">
        <v>75</v>
      </c>
      <c r="D549" s="2" t="s">
        <v>22</v>
      </c>
      <c r="E549" s="2" t="s">
        <v>38</v>
      </c>
      <c r="F549" s="2" t="s">
        <v>37</v>
      </c>
      <c r="G549" s="2" t="s">
        <v>28</v>
      </c>
      <c r="H549" s="2">
        <v>10</v>
      </c>
      <c r="I549" s="4">
        <v>2318</v>
      </c>
      <c r="J549" s="4">
        <v>1791</v>
      </c>
      <c r="K549" s="4">
        <f>Tablo1[[#This Row],[Quantity]]*Tablo1[[#This Row],[Unit_Price]]</f>
        <v>23180</v>
      </c>
      <c r="L549" s="4">
        <f>Tablo1[[#This Row],[Sales]]-(Tablo1[[#This Row],[Quantity]]*Tablo1[[#This Row],[Unit_Cost]])</f>
        <v>5270</v>
      </c>
    </row>
    <row r="550" spans="1:12" x14ac:dyDescent="0.3">
      <c r="A550" s="2">
        <v>1549</v>
      </c>
      <c r="B550" s="7">
        <v>45486</v>
      </c>
      <c r="C550" s="8" t="s">
        <v>74</v>
      </c>
      <c r="D550" s="2" t="s">
        <v>13</v>
      </c>
      <c r="E550" s="2" t="s">
        <v>30</v>
      </c>
      <c r="F550" s="2" t="s">
        <v>37</v>
      </c>
      <c r="G550" s="2" t="s">
        <v>28</v>
      </c>
      <c r="H550" s="2">
        <v>2</v>
      </c>
      <c r="I550" s="4">
        <v>2926</v>
      </c>
      <c r="J550" s="4">
        <v>2284</v>
      </c>
      <c r="K550" s="4">
        <f>Tablo1[[#This Row],[Quantity]]*Tablo1[[#This Row],[Unit_Price]]</f>
        <v>5852</v>
      </c>
      <c r="L550" s="4">
        <f>Tablo1[[#This Row],[Sales]]-(Tablo1[[#This Row],[Quantity]]*Tablo1[[#This Row],[Unit_Cost]])</f>
        <v>1284</v>
      </c>
    </row>
    <row r="551" spans="1:12" x14ac:dyDescent="0.3">
      <c r="A551" s="2">
        <v>1550</v>
      </c>
      <c r="B551" s="7">
        <v>45334</v>
      </c>
      <c r="C551" s="8" t="s">
        <v>76</v>
      </c>
      <c r="D551" s="2" t="s">
        <v>19</v>
      </c>
      <c r="E551" s="2" t="s">
        <v>30</v>
      </c>
      <c r="F551" s="2" t="s">
        <v>21</v>
      </c>
      <c r="G551" s="2" t="s">
        <v>17</v>
      </c>
      <c r="H551" s="2">
        <v>1</v>
      </c>
      <c r="I551" s="4">
        <v>6496</v>
      </c>
      <c r="J551" s="4">
        <v>4994</v>
      </c>
      <c r="K551" s="4">
        <f>Tablo1[[#This Row],[Quantity]]*Tablo1[[#This Row],[Unit_Price]]</f>
        <v>6496</v>
      </c>
      <c r="L551" s="4">
        <f>Tablo1[[#This Row],[Sales]]-(Tablo1[[#This Row],[Quantity]]*Tablo1[[#This Row],[Unit_Cost]])</f>
        <v>1502</v>
      </c>
    </row>
    <row r="552" spans="1:12" x14ac:dyDescent="0.3">
      <c r="A552" s="2">
        <v>1551</v>
      </c>
      <c r="B552" s="7">
        <v>45448</v>
      </c>
      <c r="C552" s="8" t="s">
        <v>75</v>
      </c>
      <c r="D552" s="2" t="s">
        <v>15</v>
      </c>
      <c r="E552" s="2" t="s">
        <v>20</v>
      </c>
      <c r="F552" s="2" t="s">
        <v>49</v>
      </c>
      <c r="G552" s="2" t="s">
        <v>12</v>
      </c>
      <c r="H552" s="2">
        <v>3</v>
      </c>
      <c r="I552" s="4">
        <v>24294</v>
      </c>
      <c r="J552" s="4">
        <v>19405</v>
      </c>
      <c r="K552" s="4">
        <f>Tablo1[[#This Row],[Quantity]]*Tablo1[[#This Row],[Unit_Price]]</f>
        <v>72882</v>
      </c>
      <c r="L552" s="4">
        <f>Tablo1[[#This Row],[Sales]]-(Tablo1[[#This Row],[Quantity]]*Tablo1[[#This Row],[Unit_Cost]])</f>
        <v>14667</v>
      </c>
    </row>
    <row r="553" spans="1:12" x14ac:dyDescent="0.3">
      <c r="A553" s="2">
        <v>1552</v>
      </c>
      <c r="B553" s="7">
        <v>45334</v>
      </c>
      <c r="C553" s="8" t="s">
        <v>73</v>
      </c>
      <c r="D553" s="2" t="s">
        <v>43</v>
      </c>
      <c r="E553" s="2" t="s">
        <v>23</v>
      </c>
      <c r="F553" s="2" t="s">
        <v>29</v>
      </c>
      <c r="G553" s="2" t="s">
        <v>25</v>
      </c>
      <c r="H553" s="2">
        <v>1</v>
      </c>
      <c r="I553" s="4">
        <v>4875</v>
      </c>
      <c r="J553" s="4">
        <v>3725</v>
      </c>
      <c r="K553" s="4">
        <f>Tablo1[[#This Row],[Quantity]]*Tablo1[[#This Row],[Unit_Price]]</f>
        <v>4875</v>
      </c>
      <c r="L553" s="4">
        <f>Tablo1[[#This Row],[Sales]]-(Tablo1[[#This Row],[Quantity]]*Tablo1[[#This Row],[Unit_Cost]])</f>
        <v>1150</v>
      </c>
    </row>
    <row r="554" spans="1:12" x14ac:dyDescent="0.3">
      <c r="A554" s="2">
        <v>1553</v>
      </c>
      <c r="B554" s="7">
        <v>45547</v>
      </c>
      <c r="C554" s="8" t="s">
        <v>76</v>
      </c>
      <c r="D554" s="2" t="s">
        <v>41</v>
      </c>
      <c r="E554" s="2" t="s">
        <v>26</v>
      </c>
      <c r="F554" s="2" t="s">
        <v>16</v>
      </c>
      <c r="G554" s="2" t="s">
        <v>17</v>
      </c>
      <c r="H554" s="2">
        <v>1</v>
      </c>
      <c r="I554" s="4">
        <v>7857</v>
      </c>
      <c r="J554" s="4">
        <v>5322</v>
      </c>
      <c r="K554" s="4">
        <f>Tablo1[[#This Row],[Quantity]]*Tablo1[[#This Row],[Unit_Price]]</f>
        <v>7857</v>
      </c>
      <c r="L554" s="4">
        <f>Tablo1[[#This Row],[Sales]]-(Tablo1[[#This Row],[Quantity]]*Tablo1[[#This Row],[Unit_Cost]])</f>
        <v>2535</v>
      </c>
    </row>
    <row r="555" spans="1:12" x14ac:dyDescent="0.3">
      <c r="A555" s="2">
        <v>1554</v>
      </c>
      <c r="B555" s="7">
        <v>45340</v>
      </c>
      <c r="C555" s="8" t="s">
        <v>74</v>
      </c>
      <c r="D555" s="2" t="s">
        <v>43</v>
      </c>
      <c r="E555" s="2" t="s">
        <v>30</v>
      </c>
      <c r="F555" s="2" t="s">
        <v>45</v>
      </c>
      <c r="G555" s="2" t="s">
        <v>34</v>
      </c>
      <c r="H555" s="2">
        <v>6</v>
      </c>
      <c r="I555" s="4">
        <v>3659</v>
      </c>
      <c r="J555" s="4">
        <v>2349</v>
      </c>
      <c r="K555" s="4">
        <f>Tablo1[[#This Row],[Quantity]]*Tablo1[[#This Row],[Unit_Price]]</f>
        <v>21954</v>
      </c>
      <c r="L555" s="4">
        <f>Tablo1[[#This Row],[Sales]]-(Tablo1[[#This Row],[Quantity]]*Tablo1[[#This Row],[Unit_Cost]])</f>
        <v>7860</v>
      </c>
    </row>
    <row r="556" spans="1:12" x14ac:dyDescent="0.3">
      <c r="A556" s="2">
        <v>1555</v>
      </c>
      <c r="B556" s="7">
        <v>45321</v>
      </c>
      <c r="C556" s="8" t="s">
        <v>77</v>
      </c>
      <c r="D556" s="2" t="s">
        <v>44</v>
      </c>
      <c r="E556" s="2" t="s">
        <v>23</v>
      </c>
      <c r="F556" s="2" t="s">
        <v>14</v>
      </c>
      <c r="G556" s="2" t="s">
        <v>12</v>
      </c>
      <c r="H556" s="2">
        <v>6</v>
      </c>
      <c r="I556" s="4">
        <v>14794</v>
      </c>
      <c r="J556" s="4">
        <v>8864</v>
      </c>
      <c r="K556" s="4">
        <f>Tablo1[[#This Row],[Quantity]]*Tablo1[[#This Row],[Unit_Price]]</f>
        <v>88764</v>
      </c>
      <c r="L556" s="4">
        <f>Tablo1[[#This Row],[Sales]]-(Tablo1[[#This Row],[Quantity]]*Tablo1[[#This Row],[Unit_Cost]])</f>
        <v>35580</v>
      </c>
    </row>
    <row r="557" spans="1:12" x14ac:dyDescent="0.3">
      <c r="A557" s="2">
        <v>1556</v>
      </c>
      <c r="B557" s="7">
        <v>45309</v>
      </c>
      <c r="C557" s="8" t="s">
        <v>75</v>
      </c>
      <c r="D557" s="2" t="s">
        <v>15</v>
      </c>
      <c r="E557" s="2" t="s">
        <v>38</v>
      </c>
      <c r="F557" s="2" t="s">
        <v>46</v>
      </c>
      <c r="G557" s="2" t="s">
        <v>17</v>
      </c>
      <c r="H557" s="2">
        <v>4</v>
      </c>
      <c r="I557" s="4">
        <v>3585</v>
      </c>
      <c r="J557" s="4">
        <v>2391</v>
      </c>
      <c r="K557" s="4">
        <f>Tablo1[[#This Row],[Quantity]]*Tablo1[[#This Row],[Unit_Price]]</f>
        <v>14340</v>
      </c>
      <c r="L557" s="4">
        <f>Tablo1[[#This Row],[Sales]]-(Tablo1[[#This Row],[Quantity]]*Tablo1[[#This Row],[Unit_Cost]])</f>
        <v>4776</v>
      </c>
    </row>
    <row r="558" spans="1:12" x14ac:dyDescent="0.3">
      <c r="A558" s="2">
        <v>1557</v>
      </c>
      <c r="B558" s="7">
        <v>45643</v>
      </c>
      <c r="C558" s="8" t="s">
        <v>76</v>
      </c>
      <c r="D558" s="2" t="s">
        <v>44</v>
      </c>
      <c r="E558" s="2" t="s">
        <v>38</v>
      </c>
      <c r="F558" s="2" t="s">
        <v>14</v>
      </c>
      <c r="G558" s="2" t="s">
        <v>12</v>
      </c>
      <c r="H558" s="2">
        <v>5</v>
      </c>
      <c r="I558" s="4">
        <v>6808</v>
      </c>
      <c r="J558" s="4">
        <v>3926</v>
      </c>
      <c r="K558" s="4">
        <f>Tablo1[[#This Row],[Quantity]]*Tablo1[[#This Row],[Unit_Price]]</f>
        <v>34040</v>
      </c>
      <c r="L558" s="4">
        <f>Tablo1[[#This Row],[Sales]]-(Tablo1[[#This Row],[Quantity]]*Tablo1[[#This Row],[Unit_Cost]])</f>
        <v>14410</v>
      </c>
    </row>
    <row r="559" spans="1:12" x14ac:dyDescent="0.3">
      <c r="A559" s="2">
        <v>1558</v>
      </c>
      <c r="B559" s="7">
        <v>45482</v>
      </c>
      <c r="C559" s="8" t="s">
        <v>75</v>
      </c>
      <c r="D559" s="2" t="s">
        <v>15</v>
      </c>
      <c r="E559" s="2" t="s">
        <v>38</v>
      </c>
      <c r="F559" s="2" t="s">
        <v>36</v>
      </c>
      <c r="G559" s="2" t="s">
        <v>34</v>
      </c>
      <c r="H559" s="2">
        <v>3</v>
      </c>
      <c r="I559" s="4">
        <v>6201</v>
      </c>
      <c r="J559" s="4">
        <v>4527</v>
      </c>
      <c r="K559" s="4">
        <f>Tablo1[[#This Row],[Quantity]]*Tablo1[[#This Row],[Unit_Price]]</f>
        <v>18603</v>
      </c>
      <c r="L559" s="4">
        <f>Tablo1[[#This Row],[Sales]]-(Tablo1[[#This Row],[Quantity]]*Tablo1[[#This Row],[Unit_Cost]])</f>
        <v>5022</v>
      </c>
    </row>
    <row r="560" spans="1:12" x14ac:dyDescent="0.3">
      <c r="A560" s="2">
        <v>1559</v>
      </c>
      <c r="B560" s="7">
        <v>45351</v>
      </c>
      <c r="C560" s="8" t="s">
        <v>74</v>
      </c>
      <c r="D560" s="2" t="s">
        <v>43</v>
      </c>
      <c r="E560" s="2" t="s">
        <v>26</v>
      </c>
      <c r="F560" s="2" t="s">
        <v>29</v>
      </c>
      <c r="G560" s="2" t="s">
        <v>25</v>
      </c>
      <c r="H560" s="2">
        <v>7</v>
      </c>
      <c r="I560" s="4">
        <v>1415</v>
      </c>
      <c r="J560" s="4">
        <v>840</v>
      </c>
      <c r="K560" s="4">
        <f>Tablo1[[#This Row],[Quantity]]*Tablo1[[#This Row],[Unit_Price]]</f>
        <v>9905</v>
      </c>
      <c r="L560" s="4">
        <f>Tablo1[[#This Row],[Sales]]-(Tablo1[[#This Row],[Quantity]]*Tablo1[[#This Row],[Unit_Cost]])</f>
        <v>4025</v>
      </c>
    </row>
    <row r="561" spans="1:12" x14ac:dyDescent="0.3">
      <c r="A561" s="2">
        <v>1560</v>
      </c>
      <c r="B561" s="7">
        <v>45451</v>
      </c>
      <c r="C561" s="8" t="s">
        <v>73</v>
      </c>
      <c r="D561" s="2" t="s">
        <v>13</v>
      </c>
      <c r="E561" s="2" t="s">
        <v>23</v>
      </c>
      <c r="F561" s="2" t="s">
        <v>40</v>
      </c>
      <c r="G561" s="2" t="s">
        <v>25</v>
      </c>
      <c r="H561" s="2">
        <v>2</v>
      </c>
      <c r="I561" s="4">
        <v>5154</v>
      </c>
      <c r="J561" s="4">
        <v>3233</v>
      </c>
      <c r="K561" s="4">
        <f>Tablo1[[#This Row],[Quantity]]*Tablo1[[#This Row],[Unit_Price]]</f>
        <v>10308</v>
      </c>
      <c r="L561" s="4">
        <f>Tablo1[[#This Row],[Sales]]-(Tablo1[[#This Row],[Quantity]]*Tablo1[[#This Row],[Unit_Cost]])</f>
        <v>3842</v>
      </c>
    </row>
    <row r="562" spans="1:12" x14ac:dyDescent="0.3">
      <c r="A562" s="2">
        <v>1561</v>
      </c>
      <c r="B562" s="7">
        <v>45474</v>
      </c>
      <c r="C562" s="8" t="s">
        <v>73</v>
      </c>
      <c r="D562" s="2" t="s">
        <v>43</v>
      </c>
      <c r="E562" s="2" t="s">
        <v>26</v>
      </c>
      <c r="F562" s="2" t="s">
        <v>27</v>
      </c>
      <c r="G562" s="2" t="s">
        <v>28</v>
      </c>
      <c r="H562" s="2">
        <v>8</v>
      </c>
      <c r="I562" s="4">
        <v>820</v>
      </c>
      <c r="J562" s="4">
        <v>496</v>
      </c>
      <c r="K562" s="4">
        <f>Tablo1[[#This Row],[Quantity]]*Tablo1[[#This Row],[Unit_Price]]</f>
        <v>6560</v>
      </c>
      <c r="L562" s="4">
        <f>Tablo1[[#This Row],[Sales]]-(Tablo1[[#This Row],[Quantity]]*Tablo1[[#This Row],[Unit_Cost]])</f>
        <v>2592</v>
      </c>
    </row>
    <row r="563" spans="1:12" x14ac:dyDescent="0.3">
      <c r="A563" s="2">
        <v>1562</v>
      </c>
      <c r="B563" s="7">
        <v>45506</v>
      </c>
      <c r="C563" s="8" t="s">
        <v>75</v>
      </c>
      <c r="D563" s="2" t="s">
        <v>43</v>
      </c>
      <c r="E563" s="2" t="s">
        <v>30</v>
      </c>
      <c r="F563" s="2" t="s">
        <v>37</v>
      </c>
      <c r="G563" s="2" t="s">
        <v>28</v>
      </c>
      <c r="H563" s="2">
        <v>5</v>
      </c>
      <c r="I563" s="4">
        <v>3838</v>
      </c>
      <c r="J563" s="4">
        <v>2795</v>
      </c>
      <c r="K563" s="4">
        <f>Tablo1[[#This Row],[Quantity]]*Tablo1[[#This Row],[Unit_Price]]</f>
        <v>19190</v>
      </c>
      <c r="L563" s="4">
        <f>Tablo1[[#This Row],[Sales]]-(Tablo1[[#This Row],[Quantity]]*Tablo1[[#This Row],[Unit_Cost]])</f>
        <v>5215</v>
      </c>
    </row>
    <row r="564" spans="1:12" x14ac:dyDescent="0.3">
      <c r="A564" s="2">
        <v>1563</v>
      </c>
      <c r="B564" s="7">
        <v>45542</v>
      </c>
      <c r="C564" s="8" t="s">
        <v>74</v>
      </c>
      <c r="D564" s="2" t="s">
        <v>43</v>
      </c>
      <c r="E564" s="2" t="s">
        <v>38</v>
      </c>
      <c r="F564" s="2" t="s">
        <v>21</v>
      </c>
      <c r="G564" s="2" t="s">
        <v>17</v>
      </c>
      <c r="H564" s="2">
        <v>2</v>
      </c>
      <c r="I564" s="4">
        <v>6367</v>
      </c>
      <c r="J564" s="4">
        <v>3262</v>
      </c>
      <c r="K564" s="4">
        <f>Tablo1[[#This Row],[Quantity]]*Tablo1[[#This Row],[Unit_Price]]</f>
        <v>12734</v>
      </c>
      <c r="L564" s="4">
        <f>Tablo1[[#This Row],[Sales]]-(Tablo1[[#This Row],[Quantity]]*Tablo1[[#This Row],[Unit_Cost]])</f>
        <v>6210</v>
      </c>
    </row>
    <row r="565" spans="1:12" x14ac:dyDescent="0.3">
      <c r="A565" s="2">
        <v>1564</v>
      </c>
      <c r="B565" s="7">
        <v>45473</v>
      </c>
      <c r="C565" s="8" t="s">
        <v>76</v>
      </c>
      <c r="D565" s="2" t="s">
        <v>41</v>
      </c>
      <c r="E565" s="2" t="s">
        <v>20</v>
      </c>
      <c r="F565" s="2" t="s">
        <v>50</v>
      </c>
      <c r="G565" s="2" t="s">
        <v>28</v>
      </c>
      <c r="H565" s="2">
        <v>3</v>
      </c>
      <c r="I565" s="4">
        <v>3083</v>
      </c>
      <c r="J565" s="4">
        <v>1986</v>
      </c>
      <c r="K565" s="4">
        <f>Tablo1[[#This Row],[Quantity]]*Tablo1[[#This Row],[Unit_Price]]</f>
        <v>9249</v>
      </c>
      <c r="L565" s="4">
        <f>Tablo1[[#This Row],[Sales]]-(Tablo1[[#This Row],[Quantity]]*Tablo1[[#This Row],[Unit_Cost]])</f>
        <v>3291</v>
      </c>
    </row>
    <row r="566" spans="1:12" x14ac:dyDescent="0.3">
      <c r="A566" s="2">
        <v>1565</v>
      </c>
      <c r="B566" s="7">
        <v>45428</v>
      </c>
      <c r="C566" s="8" t="s">
        <v>75</v>
      </c>
      <c r="D566" s="2" t="s">
        <v>10</v>
      </c>
      <c r="E566" s="2" t="s">
        <v>23</v>
      </c>
      <c r="F566" s="2" t="s">
        <v>21</v>
      </c>
      <c r="G566" s="2" t="s">
        <v>17</v>
      </c>
      <c r="H566" s="2">
        <v>2</v>
      </c>
      <c r="I566" s="4">
        <v>4244</v>
      </c>
      <c r="J566" s="4">
        <v>2497</v>
      </c>
      <c r="K566" s="4">
        <f>Tablo1[[#This Row],[Quantity]]*Tablo1[[#This Row],[Unit_Price]]</f>
        <v>8488</v>
      </c>
      <c r="L566" s="4">
        <f>Tablo1[[#This Row],[Sales]]-(Tablo1[[#This Row],[Quantity]]*Tablo1[[#This Row],[Unit_Cost]])</f>
        <v>3494</v>
      </c>
    </row>
    <row r="567" spans="1:12" x14ac:dyDescent="0.3">
      <c r="A567" s="2">
        <v>1566</v>
      </c>
      <c r="B567" s="7">
        <v>45386</v>
      </c>
      <c r="C567" s="8" t="s">
        <v>73</v>
      </c>
      <c r="D567" s="2" t="s">
        <v>15</v>
      </c>
      <c r="E567" s="2" t="s">
        <v>20</v>
      </c>
      <c r="F567" s="2" t="s">
        <v>16</v>
      </c>
      <c r="G567" s="2" t="s">
        <v>17</v>
      </c>
      <c r="H567" s="2">
        <v>7</v>
      </c>
      <c r="I567" s="4">
        <v>8236</v>
      </c>
      <c r="J567" s="4">
        <v>5610</v>
      </c>
      <c r="K567" s="4">
        <f>Tablo1[[#This Row],[Quantity]]*Tablo1[[#This Row],[Unit_Price]]</f>
        <v>57652</v>
      </c>
      <c r="L567" s="4">
        <f>Tablo1[[#This Row],[Sales]]-(Tablo1[[#This Row],[Quantity]]*Tablo1[[#This Row],[Unit_Cost]])</f>
        <v>18382</v>
      </c>
    </row>
    <row r="568" spans="1:12" x14ac:dyDescent="0.3">
      <c r="A568" s="2">
        <v>1567</v>
      </c>
      <c r="B568" s="7">
        <v>45534</v>
      </c>
      <c r="C568" s="8" t="s">
        <v>76</v>
      </c>
      <c r="D568" s="2" t="s">
        <v>41</v>
      </c>
      <c r="E568" s="2" t="s">
        <v>26</v>
      </c>
      <c r="F568" s="2" t="s">
        <v>40</v>
      </c>
      <c r="G568" s="2" t="s">
        <v>25</v>
      </c>
      <c r="H568" s="2">
        <v>1</v>
      </c>
      <c r="I568" s="4">
        <v>5867</v>
      </c>
      <c r="J568" s="4">
        <v>3182</v>
      </c>
      <c r="K568" s="4">
        <f>Tablo1[[#This Row],[Quantity]]*Tablo1[[#This Row],[Unit_Price]]</f>
        <v>5867</v>
      </c>
      <c r="L568" s="4">
        <f>Tablo1[[#This Row],[Sales]]-(Tablo1[[#This Row],[Quantity]]*Tablo1[[#This Row],[Unit_Cost]])</f>
        <v>2685</v>
      </c>
    </row>
    <row r="569" spans="1:12" x14ac:dyDescent="0.3">
      <c r="A569" s="2">
        <v>1568</v>
      </c>
      <c r="B569" s="7">
        <v>45584</v>
      </c>
      <c r="C569" s="8" t="s">
        <v>74</v>
      </c>
      <c r="D569" s="2" t="s">
        <v>22</v>
      </c>
      <c r="E569" s="2" t="s">
        <v>38</v>
      </c>
      <c r="F569" s="2" t="s">
        <v>42</v>
      </c>
      <c r="G569" s="2" t="s">
        <v>12</v>
      </c>
      <c r="H569" s="2">
        <v>9</v>
      </c>
      <c r="I569" s="4">
        <v>13254</v>
      </c>
      <c r="J569" s="4">
        <v>7250</v>
      </c>
      <c r="K569" s="4">
        <f>Tablo1[[#This Row],[Quantity]]*Tablo1[[#This Row],[Unit_Price]]</f>
        <v>119286</v>
      </c>
      <c r="L569" s="4">
        <f>Tablo1[[#This Row],[Sales]]-(Tablo1[[#This Row],[Quantity]]*Tablo1[[#This Row],[Unit_Cost]])</f>
        <v>54036</v>
      </c>
    </row>
    <row r="570" spans="1:12" x14ac:dyDescent="0.3">
      <c r="A570" s="2">
        <v>1569</v>
      </c>
      <c r="B570" s="7">
        <v>45464</v>
      </c>
      <c r="C570" s="8" t="s">
        <v>77</v>
      </c>
      <c r="D570" s="2" t="s">
        <v>13</v>
      </c>
      <c r="E570" s="2" t="s">
        <v>30</v>
      </c>
      <c r="F570" s="2" t="s">
        <v>37</v>
      </c>
      <c r="G570" s="2" t="s">
        <v>28</v>
      </c>
      <c r="H570" s="2">
        <v>5</v>
      </c>
      <c r="I570" s="4">
        <v>1216</v>
      </c>
      <c r="J570" s="4">
        <v>844</v>
      </c>
      <c r="K570" s="4">
        <f>Tablo1[[#This Row],[Quantity]]*Tablo1[[#This Row],[Unit_Price]]</f>
        <v>6080</v>
      </c>
      <c r="L570" s="4">
        <f>Tablo1[[#This Row],[Sales]]-(Tablo1[[#This Row],[Quantity]]*Tablo1[[#This Row],[Unit_Cost]])</f>
        <v>1860</v>
      </c>
    </row>
    <row r="571" spans="1:12" x14ac:dyDescent="0.3">
      <c r="A571" s="2">
        <v>1570</v>
      </c>
      <c r="B571" s="7">
        <v>45451</v>
      </c>
      <c r="C571" s="8" t="s">
        <v>75</v>
      </c>
      <c r="D571" s="2" t="s">
        <v>15</v>
      </c>
      <c r="E571" s="2" t="s">
        <v>30</v>
      </c>
      <c r="F571" s="2" t="s">
        <v>46</v>
      </c>
      <c r="G571" s="2" t="s">
        <v>17</v>
      </c>
      <c r="H571" s="2">
        <v>2</v>
      </c>
      <c r="I571" s="4">
        <v>7963</v>
      </c>
      <c r="J571" s="4">
        <v>4198</v>
      </c>
      <c r="K571" s="4">
        <f>Tablo1[[#This Row],[Quantity]]*Tablo1[[#This Row],[Unit_Price]]</f>
        <v>15926</v>
      </c>
      <c r="L571" s="4">
        <f>Tablo1[[#This Row],[Sales]]-(Tablo1[[#This Row],[Quantity]]*Tablo1[[#This Row],[Unit_Cost]])</f>
        <v>7530</v>
      </c>
    </row>
    <row r="572" spans="1:12" x14ac:dyDescent="0.3">
      <c r="A572" s="2">
        <v>1571</v>
      </c>
      <c r="B572" s="7">
        <v>45374</v>
      </c>
      <c r="C572" s="8" t="s">
        <v>76</v>
      </c>
      <c r="D572" s="2" t="s">
        <v>15</v>
      </c>
      <c r="E572" s="2" t="s">
        <v>20</v>
      </c>
      <c r="F572" s="2" t="s">
        <v>37</v>
      </c>
      <c r="G572" s="2" t="s">
        <v>28</v>
      </c>
      <c r="H572" s="2">
        <v>10</v>
      </c>
      <c r="I572" s="4">
        <v>3708</v>
      </c>
      <c r="J572" s="4">
        <v>2449</v>
      </c>
      <c r="K572" s="4">
        <f>Tablo1[[#This Row],[Quantity]]*Tablo1[[#This Row],[Unit_Price]]</f>
        <v>37080</v>
      </c>
      <c r="L572" s="4">
        <f>Tablo1[[#This Row],[Sales]]-(Tablo1[[#This Row],[Quantity]]*Tablo1[[#This Row],[Unit_Cost]])</f>
        <v>12590</v>
      </c>
    </row>
    <row r="573" spans="1:12" x14ac:dyDescent="0.3">
      <c r="A573" s="2">
        <v>1572</v>
      </c>
      <c r="B573" s="7">
        <v>45314</v>
      </c>
      <c r="C573" s="8" t="s">
        <v>75</v>
      </c>
      <c r="D573" s="2" t="s">
        <v>22</v>
      </c>
      <c r="E573" s="2" t="s">
        <v>30</v>
      </c>
      <c r="F573" s="2" t="s">
        <v>45</v>
      </c>
      <c r="G573" s="2" t="s">
        <v>34</v>
      </c>
      <c r="H573" s="2">
        <v>9</v>
      </c>
      <c r="I573" s="4">
        <v>5734</v>
      </c>
      <c r="J573" s="4">
        <v>3774</v>
      </c>
      <c r="K573" s="4">
        <f>Tablo1[[#This Row],[Quantity]]*Tablo1[[#This Row],[Unit_Price]]</f>
        <v>51606</v>
      </c>
      <c r="L573" s="4">
        <f>Tablo1[[#This Row],[Sales]]-(Tablo1[[#This Row],[Quantity]]*Tablo1[[#This Row],[Unit_Cost]])</f>
        <v>17640</v>
      </c>
    </row>
    <row r="574" spans="1:12" x14ac:dyDescent="0.3">
      <c r="A574" s="2">
        <v>1573</v>
      </c>
      <c r="B574" s="7">
        <v>45309</v>
      </c>
      <c r="C574" s="8" t="s">
        <v>74</v>
      </c>
      <c r="D574" s="2" t="s">
        <v>13</v>
      </c>
      <c r="E574" s="2" t="s">
        <v>26</v>
      </c>
      <c r="F574" s="2" t="s">
        <v>11</v>
      </c>
      <c r="G574" s="2" t="s">
        <v>12</v>
      </c>
      <c r="H574" s="2">
        <v>4</v>
      </c>
      <c r="I574" s="4">
        <v>17524</v>
      </c>
      <c r="J574" s="4">
        <v>9986</v>
      </c>
      <c r="K574" s="4">
        <f>Tablo1[[#This Row],[Quantity]]*Tablo1[[#This Row],[Unit_Price]]</f>
        <v>70096</v>
      </c>
      <c r="L574" s="4">
        <f>Tablo1[[#This Row],[Sales]]-(Tablo1[[#This Row],[Quantity]]*Tablo1[[#This Row],[Unit_Cost]])</f>
        <v>30152</v>
      </c>
    </row>
    <row r="575" spans="1:12" x14ac:dyDescent="0.3">
      <c r="A575" s="2">
        <v>1574</v>
      </c>
      <c r="B575" s="7">
        <v>45322</v>
      </c>
      <c r="C575" s="8" t="s">
        <v>73</v>
      </c>
      <c r="D575" s="2" t="s">
        <v>15</v>
      </c>
      <c r="E575" s="2" t="s">
        <v>26</v>
      </c>
      <c r="F575" s="2" t="s">
        <v>39</v>
      </c>
      <c r="G575" s="2" t="s">
        <v>28</v>
      </c>
      <c r="H575" s="2">
        <v>9</v>
      </c>
      <c r="I575" s="4">
        <v>1185</v>
      </c>
      <c r="J575" s="4">
        <v>638</v>
      </c>
      <c r="K575" s="4">
        <f>Tablo1[[#This Row],[Quantity]]*Tablo1[[#This Row],[Unit_Price]]</f>
        <v>10665</v>
      </c>
      <c r="L575" s="4">
        <f>Tablo1[[#This Row],[Sales]]-(Tablo1[[#This Row],[Quantity]]*Tablo1[[#This Row],[Unit_Cost]])</f>
        <v>4923</v>
      </c>
    </row>
    <row r="576" spans="1:12" x14ac:dyDescent="0.3">
      <c r="A576" s="2">
        <v>1575</v>
      </c>
      <c r="B576" s="7">
        <v>45308</v>
      </c>
      <c r="C576" s="8" t="s">
        <v>73</v>
      </c>
      <c r="D576" s="2" t="s">
        <v>41</v>
      </c>
      <c r="E576" s="2" t="s">
        <v>20</v>
      </c>
      <c r="F576" s="2" t="s">
        <v>14</v>
      </c>
      <c r="G576" s="2" t="s">
        <v>12</v>
      </c>
      <c r="H576" s="2">
        <v>10</v>
      </c>
      <c r="I576" s="4">
        <v>14323</v>
      </c>
      <c r="J576" s="4">
        <v>10039</v>
      </c>
      <c r="K576" s="4">
        <f>Tablo1[[#This Row],[Quantity]]*Tablo1[[#This Row],[Unit_Price]]</f>
        <v>143230</v>
      </c>
      <c r="L576" s="4">
        <f>Tablo1[[#This Row],[Sales]]-(Tablo1[[#This Row],[Quantity]]*Tablo1[[#This Row],[Unit_Cost]])</f>
        <v>42840</v>
      </c>
    </row>
    <row r="577" spans="1:12" x14ac:dyDescent="0.3">
      <c r="A577" s="2">
        <v>1576</v>
      </c>
      <c r="B577" s="7">
        <v>45467</v>
      </c>
      <c r="C577" s="8" t="s">
        <v>75</v>
      </c>
      <c r="D577" s="2" t="s">
        <v>15</v>
      </c>
      <c r="E577" s="2" t="s">
        <v>20</v>
      </c>
      <c r="F577" s="2" t="s">
        <v>50</v>
      </c>
      <c r="G577" s="2" t="s">
        <v>28</v>
      </c>
      <c r="H577" s="2">
        <v>9</v>
      </c>
      <c r="I577" s="4">
        <v>1515</v>
      </c>
      <c r="J577" s="4">
        <v>887</v>
      </c>
      <c r="K577" s="4">
        <f>Tablo1[[#This Row],[Quantity]]*Tablo1[[#This Row],[Unit_Price]]</f>
        <v>13635</v>
      </c>
      <c r="L577" s="4">
        <f>Tablo1[[#This Row],[Sales]]-(Tablo1[[#This Row],[Quantity]]*Tablo1[[#This Row],[Unit_Cost]])</f>
        <v>5652</v>
      </c>
    </row>
    <row r="578" spans="1:12" x14ac:dyDescent="0.3">
      <c r="A578" s="2">
        <v>1577</v>
      </c>
      <c r="B578" s="7">
        <v>45481</v>
      </c>
      <c r="C578" s="8" t="s">
        <v>74</v>
      </c>
      <c r="D578" s="2" t="s">
        <v>43</v>
      </c>
      <c r="E578" s="2" t="s">
        <v>23</v>
      </c>
      <c r="F578" s="2" t="s">
        <v>27</v>
      </c>
      <c r="G578" s="2" t="s">
        <v>28</v>
      </c>
      <c r="H578" s="2">
        <v>4</v>
      </c>
      <c r="I578" s="4">
        <v>3072</v>
      </c>
      <c r="J578" s="4">
        <v>2248</v>
      </c>
      <c r="K578" s="4">
        <f>Tablo1[[#This Row],[Quantity]]*Tablo1[[#This Row],[Unit_Price]]</f>
        <v>12288</v>
      </c>
      <c r="L578" s="4">
        <f>Tablo1[[#This Row],[Sales]]-(Tablo1[[#This Row],[Quantity]]*Tablo1[[#This Row],[Unit_Cost]])</f>
        <v>3296</v>
      </c>
    </row>
    <row r="579" spans="1:12" x14ac:dyDescent="0.3">
      <c r="A579" s="2">
        <v>1578</v>
      </c>
      <c r="B579" s="7">
        <v>45519</v>
      </c>
      <c r="C579" s="8" t="s">
        <v>76</v>
      </c>
      <c r="D579" s="2" t="s">
        <v>43</v>
      </c>
      <c r="E579" s="2" t="s">
        <v>38</v>
      </c>
      <c r="F579" s="2" t="s">
        <v>42</v>
      </c>
      <c r="G579" s="2" t="s">
        <v>12</v>
      </c>
      <c r="H579" s="2">
        <v>1</v>
      </c>
      <c r="I579" s="4">
        <v>23554</v>
      </c>
      <c r="J579" s="4">
        <v>16942</v>
      </c>
      <c r="K579" s="4">
        <f>Tablo1[[#This Row],[Quantity]]*Tablo1[[#This Row],[Unit_Price]]</f>
        <v>23554</v>
      </c>
      <c r="L579" s="4">
        <f>Tablo1[[#This Row],[Sales]]-(Tablo1[[#This Row],[Quantity]]*Tablo1[[#This Row],[Unit_Cost]])</f>
        <v>6612</v>
      </c>
    </row>
    <row r="580" spans="1:12" x14ac:dyDescent="0.3">
      <c r="A580" s="2">
        <v>1579</v>
      </c>
      <c r="B580" s="7">
        <v>45535</v>
      </c>
      <c r="C580" s="8" t="s">
        <v>75</v>
      </c>
      <c r="D580" s="2" t="s">
        <v>41</v>
      </c>
      <c r="E580" s="2" t="s">
        <v>20</v>
      </c>
      <c r="F580" s="2" t="s">
        <v>45</v>
      </c>
      <c r="G580" s="2" t="s">
        <v>34</v>
      </c>
      <c r="H580" s="2">
        <v>7</v>
      </c>
      <c r="I580" s="4">
        <v>5593</v>
      </c>
      <c r="J580" s="4">
        <v>3902</v>
      </c>
      <c r="K580" s="4">
        <f>Tablo1[[#This Row],[Quantity]]*Tablo1[[#This Row],[Unit_Price]]</f>
        <v>39151</v>
      </c>
      <c r="L580" s="4">
        <f>Tablo1[[#This Row],[Sales]]-(Tablo1[[#This Row],[Quantity]]*Tablo1[[#This Row],[Unit_Cost]])</f>
        <v>11837</v>
      </c>
    </row>
    <row r="581" spans="1:12" x14ac:dyDescent="0.3">
      <c r="A581" s="2">
        <v>1580</v>
      </c>
      <c r="B581" s="7">
        <v>45418</v>
      </c>
      <c r="C581" s="8" t="s">
        <v>73</v>
      </c>
      <c r="D581" s="2" t="s">
        <v>19</v>
      </c>
      <c r="E581" s="2" t="s">
        <v>26</v>
      </c>
      <c r="F581" s="2" t="s">
        <v>24</v>
      </c>
      <c r="G581" s="2" t="s">
        <v>25</v>
      </c>
      <c r="H581" s="2">
        <v>5</v>
      </c>
      <c r="I581" s="4">
        <v>1255</v>
      </c>
      <c r="J581" s="4">
        <v>885</v>
      </c>
      <c r="K581" s="4">
        <f>Tablo1[[#This Row],[Quantity]]*Tablo1[[#This Row],[Unit_Price]]</f>
        <v>6275</v>
      </c>
      <c r="L581" s="4">
        <f>Tablo1[[#This Row],[Sales]]-(Tablo1[[#This Row],[Quantity]]*Tablo1[[#This Row],[Unit_Cost]])</f>
        <v>1850</v>
      </c>
    </row>
    <row r="582" spans="1:12" x14ac:dyDescent="0.3">
      <c r="A582" s="2">
        <v>1581</v>
      </c>
      <c r="B582" s="7">
        <v>45628</v>
      </c>
      <c r="C582" s="8" t="s">
        <v>76</v>
      </c>
      <c r="D582" s="2" t="s">
        <v>15</v>
      </c>
      <c r="E582" s="2" t="s">
        <v>26</v>
      </c>
      <c r="F582" s="2" t="s">
        <v>45</v>
      </c>
      <c r="G582" s="2" t="s">
        <v>34</v>
      </c>
      <c r="H582" s="2">
        <v>4</v>
      </c>
      <c r="I582" s="4">
        <v>988</v>
      </c>
      <c r="J582" s="4">
        <v>777</v>
      </c>
      <c r="K582" s="4">
        <f>Tablo1[[#This Row],[Quantity]]*Tablo1[[#This Row],[Unit_Price]]</f>
        <v>3952</v>
      </c>
      <c r="L582" s="4">
        <f>Tablo1[[#This Row],[Sales]]-(Tablo1[[#This Row],[Quantity]]*Tablo1[[#This Row],[Unit_Cost]])</f>
        <v>844</v>
      </c>
    </row>
    <row r="583" spans="1:12" x14ac:dyDescent="0.3">
      <c r="A583" s="2">
        <v>1582</v>
      </c>
      <c r="B583" s="7">
        <v>45572</v>
      </c>
      <c r="C583" s="8" t="s">
        <v>74</v>
      </c>
      <c r="D583" s="2" t="s">
        <v>43</v>
      </c>
      <c r="E583" s="2" t="s">
        <v>20</v>
      </c>
      <c r="F583" s="2" t="s">
        <v>27</v>
      </c>
      <c r="G583" s="2" t="s">
        <v>28</v>
      </c>
      <c r="H583" s="2">
        <v>5</v>
      </c>
      <c r="I583" s="4">
        <v>1519</v>
      </c>
      <c r="J583" s="4">
        <v>892</v>
      </c>
      <c r="K583" s="4">
        <f>Tablo1[[#This Row],[Quantity]]*Tablo1[[#This Row],[Unit_Price]]</f>
        <v>7595</v>
      </c>
      <c r="L583" s="4">
        <f>Tablo1[[#This Row],[Sales]]-(Tablo1[[#This Row],[Quantity]]*Tablo1[[#This Row],[Unit_Cost]])</f>
        <v>3135</v>
      </c>
    </row>
    <row r="584" spans="1:12" x14ac:dyDescent="0.3">
      <c r="A584" s="2">
        <v>1583</v>
      </c>
      <c r="B584" s="7">
        <v>45474</v>
      </c>
      <c r="C584" s="8" t="s">
        <v>77</v>
      </c>
      <c r="D584" s="2" t="s">
        <v>22</v>
      </c>
      <c r="E584" s="2" t="s">
        <v>30</v>
      </c>
      <c r="F584" s="2" t="s">
        <v>42</v>
      </c>
      <c r="G584" s="2" t="s">
        <v>12</v>
      </c>
      <c r="H584" s="2">
        <v>7</v>
      </c>
      <c r="I584" s="4">
        <v>6588</v>
      </c>
      <c r="J584" s="4">
        <v>5187</v>
      </c>
      <c r="K584" s="4">
        <f>Tablo1[[#This Row],[Quantity]]*Tablo1[[#This Row],[Unit_Price]]</f>
        <v>46116</v>
      </c>
      <c r="L584" s="4">
        <f>Tablo1[[#This Row],[Sales]]-(Tablo1[[#This Row],[Quantity]]*Tablo1[[#This Row],[Unit_Cost]])</f>
        <v>9807</v>
      </c>
    </row>
    <row r="585" spans="1:12" x14ac:dyDescent="0.3">
      <c r="A585" s="2">
        <v>1584</v>
      </c>
      <c r="B585" s="7">
        <v>45515</v>
      </c>
      <c r="C585" s="8" t="s">
        <v>75</v>
      </c>
      <c r="D585" s="2" t="s">
        <v>15</v>
      </c>
      <c r="E585" s="2" t="s">
        <v>20</v>
      </c>
      <c r="F585" s="2" t="s">
        <v>11</v>
      </c>
      <c r="G585" s="2" t="s">
        <v>12</v>
      </c>
      <c r="H585" s="2">
        <v>9</v>
      </c>
      <c r="I585" s="4">
        <v>5529</v>
      </c>
      <c r="J585" s="4">
        <v>3903</v>
      </c>
      <c r="K585" s="4">
        <f>Tablo1[[#This Row],[Quantity]]*Tablo1[[#This Row],[Unit_Price]]</f>
        <v>49761</v>
      </c>
      <c r="L585" s="4">
        <f>Tablo1[[#This Row],[Sales]]-(Tablo1[[#This Row],[Quantity]]*Tablo1[[#This Row],[Unit_Cost]])</f>
        <v>14634</v>
      </c>
    </row>
    <row r="586" spans="1:12" x14ac:dyDescent="0.3">
      <c r="A586" s="2">
        <v>1585</v>
      </c>
      <c r="B586" s="7">
        <v>45531</v>
      </c>
      <c r="C586" s="8" t="s">
        <v>76</v>
      </c>
      <c r="D586" s="2" t="s">
        <v>13</v>
      </c>
      <c r="E586" s="2" t="s">
        <v>38</v>
      </c>
      <c r="F586" s="2" t="s">
        <v>21</v>
      </c>
      <c r="G586" s="2" t="s">
        <v>17</v>
      </c>
      <c r="H586" s="2">
        <v>1</v>
      </c>
      <c r="I586" s="4">
        <v>2242</v>
      </c>
      <c r="J586" s="4">
        <v>1306</v>
      </c>
      <c r="K586" s="4">
        <f>Tablo1[[#This Row],[Quantity]]*Tablo1[[#This Row],[Unit_Price]]</f>
        <v>2242</v>
      </c>
      <c r="L586" s="4">
        <f>Tablo1[[#This Row],[Sales]]-(Tablo1[[#This Row],[Quantity]]*Tablo1[[#This Row],[Unit_Cost]])</f>
        <v>936</v>
      </c>
    </row>
    <row r="587" spans="1:12" x14ac:dyDescent="0.3">
      <c r="A587" s="2">
        <v>1586</v>
      </c>
      <c r="B587" s="7">
        <v>45632</v>
      </c>
      <c r="C587" s="8" t="s">
        <v>75</v>
      </c>
      <c r="D587" s="2" t="s">
        <v>32</v>
      </c>
      <c r="E587" s="2" t="s">
        <v>26</v>
      </c>
      <c r="F587" s="2" t="s">
        <v>47</v>
      </c>
      <c r="G587" s="2" t="s">
        <v>25</v>
      </c>
      <c r="H587" s="2">
        <v>4</v>
      </c>
      <c r="I587" s="4">
        <v>4067</v>
      </c>
      <c r="J587" s="4">
        <v>2730</v>
      </c>
      <c r="K587" s="4">
        <f>Tablo1[[#This Row],[Quantity]]*Tablo1[[#This Row],[Unit_Price]]</f>
        <v>16268</v>
      </c>
      <c r="L587" s="4">
        <f>Tablo1[[#This Row],[Sales]]-(Tablo1[[#This Row],[Quantity]]*Tablo1[[#This Row],[Unit_Cost]])</f>
        <v>5348</v>
      </c>
    </row>
    <row r="588" spans="1:12" x14ac:dyDescent="0.3">
      <c r="A588" s="2">
        <v>1587</v>
      </c>
      <c r="B588" s="7">
        <v>45420</v>
      </c>
      <c r="C588" s="8" t="s">
        <v>74</v>
      </c>
      <c r="D588" s="2" t="s">
        <v>15</v>
      </c>
      <c r="E588" s="2" t="s">
        <v>30</v>
      </c>
      <c r="F588" s="2" t="s">
        <v>45</v>
      </c>
      <c r="G588" s="2" t="s">
        <v>34</v>
      </c>
      <c r="H588" s="2">
        <v>5</v>
      </c>
      <c r="I588" s="4">
        <v>3169</v>
      </c>
      <c r="J588" s="4">
        <v>2269</v>
      </c>
      <c r="K588" s="4">
        <f>Tablo1[[#This Row],[Quantity]]*Tablo1[[#This Row],[Unit_Price]]</f>
        <v>15845</v>
      </c>
      <c r="L588" s="4">
        <f>Tablo1[[#This Row],[Sales]]-(Tablo1[[#This Row],[Quantity]]*Tablo1[[#This Row],[Unit_Cost]])</f>
        <v>4500</v>
      </c>
    </row>
    <row r="589" spans="1:12" x14ac:dyDescent="0.3">
      <c r="A589" s="2">
        <v>1588</v>
      </c>
      <c r="B589" s="7">
        <v>45326</v>
      </c>
      <c r="C589" s="8" t="s">
        <v>73</v>
      </c>
      <c r="D589" s="2" t="s">
        <v>10</v>
      </c>
      <c r="E589" s="2" t="s">
        <v>23</v>
      </c>
      <c r="F589" s="2" t="s">
        <v>31</v>
      </c>
      <c r="G589" s="2" t="s">
        <v>17</v>
      </c>
      <c r="H589" s="2">
        <v>8</v>
      </c>
      <c r="I589" s="4">
        <v>3017</v>
      </c>
      <c r="J589" s="4">
        <v>1669</v>
      </c>
      <c r="K589" s="4">
        <f>Tablo1[[#This Row],[Quantity]]*Tablo1[[#This Row],[Unit_Price]]</f>
        <v>24136</v>
      </c>
      <c r="L589" s="4">
        <f>Tablo1[[#This Row],[Sales]]-(Tablo1[[#This Row],[Quantity]]*Tablo1[[#This Row],[Unit_Cost]])</f>
        <v>10784</v>
      </c>
    </row>
    <row r="590" spans="1:12" x14ac:dyDescent="0.3">
      <c r="A590" s="2">
        <v>1589</v>
      </c>
      <c r="B590" s="7">
        <v>45571</v>
      </c>
      <c r="C590" s="8" t="s">
        <v>73</v>
      </c>
      <c r="D590" s="2" t="s">
        <v>41</v>
      </c>
      <c r="E590" s="2" t="s">
        <v>20</v>
      </c>
      <c r="F590" s="2" t="s">
        <v>24</v>
      </c>
      <c r="G590" s="2" t="s">
        <v>25</v>
      </c>
      <c r="H590" s="2">
        <v>2</v>
      </c>
      <c r="I590" s="4">
        <v>5688</v>
      </c>
      <c r="J590" s="4">
        <v>3201</v>
      </c>
      <c r="K590" s="4">
        <f>Tablo1[[#This Row],[Quantity]]*Tablo1[[#This Row],[Unit_Price]]</f>
        <v>11376</v>
      </c>
      <c r="L590" s="4">
        <f>Tablo1[[#This Row],[Sales]]-(Tablo1[[#This Row],[Quantity]]*Tablo1[[#This Row],[Unit_Cost]])</f>
        <v>4974</v>
      </c>
    </row>
    <row r="591" spans="1:12" x14ac:dyDescent="0.3">
      <c r="A591" s="2">
        <v>1590</v>
      </c>
      <c r="B591" s="7">
        <v>45431</v>
      </c>
      <c r="C591" s="8" t="s">
        <v>75</v>
      </c>
      <c r="D591" s="2" t="s">
        <v>41</v>
      </c>
      <c r="E591" s="2" t="s">
        <v>26</v>
      </c>
      <c r="F591" s="2" t="s">
        <v>16</v>
      </c>
      <c r="G591" s="2" t="s">
        <v>17</v>
      </c>
      <c r="H591" s="2">
        <v>1</v>
      </c>
      <c r="I591" s="4">
        <v>2461</v>
      </c>
      <c r="J591" s="4">
        <v>1813</v>
      </c>
      <c r="K591" s="4">
        <f>Tablo1[[#This Row],[Quantity]]*Tablo1[[#This Row],[Unit_Price]]</f>
        <v>2461</v>
      </c>
      <c r="L591" s="4">
        <f>Tablo1[[#This Row],[Sales]]-(Tablo1[[#This Row],[Quantity]]*Tablo1[[#This Row],[Unit_Cost]])</f>
        <v>648</v>
      </c>
    </row>
    <row r="592" spans="1:12" x14ac:dyDescent="0.3">
      <c r="A592" s="2">
        <v>1591</v>
      </c>
      <c r="B592" s="7">
        <v>45368</v>
      </c>
      <c r="C592" s="8" t="s">
        <v>74</v>
      </c>
      <c r="D592" s="2" t="s">
        <v>19</v>
      </c>
      <c r="E592" s="2" t="s">
        <v>38</v>
      </c>
      <c r="F592" s="2" t="s">
        <v>31</v>
      </c>
      <c r="G592" s="2" t="s">
        <v>17</v>
      </c>
      <c r="H592" s="2">
        <v>4</v>
      </c>
      <c r="I592" s="4">
        <v>4397</v>
      </c>
      <c r="J592" s="4">
        <v>2719</v>
      </c>
      <c r="K592" s="4">
        <f>Tablo1[[#This Row],[Quantity]]*Tablo1[[#This Row],[Unit_Price]]</f>
        <v>17588</v>
      </c>
      <c r="L592" s="4">
        <f>Tablo1[[#This Row],[Sales]]-(Tablo1[[#This Row],[Quantity]]*Tablo1[[#This Row],[Unit_Cost]])</f>
        <v>6712</v>
      </c>
    </row>
    <row r="593" spans="1:12" x14ac:dyDescent="0.3">
      <c r="A593" s="2">
        <v>1592</v>
      </c>
      <c r="B593" s="7">
        <v>45545</v>
      </c>
      <c r="C593" s="8" t="s">
        <v>76</v>
      </c>
      <c r="D593" s="2" t="s">
        <v>44</v>
      </c>
      <c r="E593" s="2" t="s">
        <v>30</v>
      </c>
      <c r="F593" s="2" t="s">
        <v>49</v>
      </c>
      <c r="G593" s="2" t="s">
        <v>12</v>
      </c>
      <c r="H593" s="2">
        <v>1</v>
      </c>
      <c r="I593" s="4">
        <v>12567</v>
      </c>
      <c r="J593" s="4">
        <v>8664</v>
      </c>
      <c r="K593" s="4">
        <f>Tablo1[[#This Row],[Quantity]]*Tablo1[[#This Row],[Unit_Price]]</f>
        <v>12567</v>
      </c>
      <c r="L593" s="4">
        <f>Tablo1[[#This Row],[Sales]]-(Tablo1[[#This Row],[Quantity]]*Tablo1[[#This Row],[Unit_Cost]])</f>
        <v>3903</v>
      </c>
    </row>
    <row r="594" spans="1:12" x14ac:dyDescent="0.3">
      <c r="A594" s="2">
        <v>1593</v>
      </c>
      <c r="B594" s="7">
        <v>45591</v>
      </c>
      <c r="C594" s="8" t="s">
        <v>75</v>
      </c>
      <c r="D594" s="2" t="s">
        <v>35</v>
      </c>
      <c r="E594" s="2" t="s">
        <v>38</v>
      </c>
      <c r="F594" s="2" t="s">
        <v>36</v>
      </c>
      <c r="G594" s="2" t="s">
        <v>34</v>
      </c>
      <c r="H594" s="2">
        <v>2</v>
      </c>
      <c r="I594" s="4">
        <v>1611</v>
      </c>
      <c r="J594" s="4">
        <v>1244</v>
      </c>
      <c r="K594" s="4">
        <f>Tablo1[[#This Row],[Quantity]]*Tablo1[[#This Row],[Unit_Price]]</f>
        <v>3222</v>
      </c>
      <c r="L594" s="4">
        <f>Tablo1[[#This Row],[Sales]]-(Tablo1[[#This Row],[Quantity]]*Tablo1[[#This Row],[Unit_Cost]])</f>
        <v>734</v>
      </c>
    </row>
    <row r="595" spans="1:12" x14ac:dyDescent="0.3">
      <c r="A595" s="2">
        <v>1594</v>
      </c>
      <c r="B595" s="7">
        <v>45629</v>
      </c>
      <c r="C595" s="8" t="s">
        <v>73</v>
      </c>
      <c r="D595" s="2" t="s">
        <v>43</v>
      </c>
      <c r="E595" s="2" t="s">
        <v>38</v>
      </c>
      <c r="F595" s="2" t="s">
        <v>14</v>
      </c>
      <c r="G595" s="2" t="s">
        <v>12</v>
      </c>
      <c r="H595" s="2">
        <v>6</v>
      </c>
      <c r="I595" s="4">
        <v>19845</v>
      </c>
      <c r="J595" s="4">
        <v>15184</v>
      </c>
      <c r="K595" s="4">
        <f>Tablo1[[#This Row],[Quantity]]*Tablo1[[#This Row],[Unit_Price]]</f>
        <v>119070</v>
      </c>
      <c r="L595" s="4">
        <f>Tablo1[[#This Row],[Sales]]-(Tablo1[[#This Row],[Quantity]]*Tablo1[[#This Row],[Unit_Cost]])</f>
        <v>27966</v>
      </c>
    </row>
    <row r="596" spans="1:12" x14ac:dyDescent="0.3">
      <c r="A596" s="2">
        <v>1595</v>
      </c>
      <c r="B596" s="7">
        <v>45612</v>
      </c>
      <c r="C596" s="8" t="s">
        <v>76</v>
      </c>
      <c r="D596" s="2" t="s">
        <v>22</v>
      </c>
      <c r="E596" s="2" t="s">
        <v>20</v>
      </c>
      <c r="F596" s="2" t="s">
        <v>45</v>
      </c>
      <c r="G596" s="2" t="s">
        <v>34</v>
      </c>
      <c r="H596" s="2">
        <v>2</v>
      </c>
      <c r="I596" s="4">
        <v>4195</v>
      </c>
      <c r="J596" s="4">
        <v>3318</v>
      </c>
      <c r="K596" s="4">
        <f>Tablo1[[#This Row],[Quantity]]*Tablo1[[#This Row],[Unit_Price]]</f>
        <v>8390</v>
      </c>
      <c r="L596" s="4">
        <f>Tablo1[[#This Row],[Sales]]-(Tablo1[[#This Row],[Quantity]]*Tablo1[[#This Row],[Unit_Cost]])</f>
        <v>1754</v>
      </c>
    </row>
    <row r="597" spans="1:12" x14ac:dyDescent="0.3">
      <c r="A597" s="2">
        <v>1596</v>
      </c>
      <c r="B597" s="7">
        <v>45360</v>
      </c>
      <c r="C597" s="8" t="s">
        <v>74</v>
      </c>
      <c r="D597" s="2" t="s">
        <v>10</v>
      </c>
      <c r="E597" s="2" t="s">
        <v>38</v>
      </c>
      <c r="F597" s="2" t="s">
        <v>42</v>
      </c>
      <c r="G597" s="2" t="s">
        <v>12</v>
      </c>
      <c r="H597" s="2">
        <v>7</v>
      </c>
      <c r="I597" s="4">
        <v>14251</v>
      </c>
      <c r="J597" s="4">
        <v>9980</v>
      </c>
      <c r="K597" s="4">
        <f>Tablo1[[#This Row],[Quantity]]*Tablo1[[#This Row],[Unit_Price]]</f>
        <v>99757</v>
      </c>
      <c r="L597" s="4">
        <f>Tablo1[[#This Row],[Sales]]-(Tablo1[[#This Row],[Quantity]]*Tablo1[[#This Row],[Unit_Cost]])</f>
        <v>29897</v>
      </c>
    </row>
    <row r="598" spans="1:12" x14ac:dyDescent="0.3">
      <c r="A598" s="2">
        <v>1597</v>
      </c>
      <c r="B598" s="7">
        <v>45608</v>
      </c>
      <c r="C598" s="8" t="s">
        <v>77</v>
      </c>
      <c r="D598" s="2" t="s">
        <v>44</v>
      </c>
      <c r="E598" s="2" t="s">
        <v>30</v>
      </c>
      <c r="F598" s="2" t="s">
        <v>24</v>
      </c>
      <c r="G598" s="2" t="s">
        <v>25</v>
      </c>
      <c r="H598" s="2">
        <v>4</v>
      </c>
      <c r="I598" s="4">
        <v>5813</v>
      </c>
      <c r="J598" s="4">
        <v>3645</v>
      </c>
      <c r="K598" s="4">
        <f>Tablo1[[#This Row],[Quantity]]*Tablo1[[#This Row],[Unit_Price]]</f>
        <v>23252</v>
      </c>
      <c r="L598" s="4">
        <f>Tablo1[[#This Row],[Sales]]-(Tablo1[[#This Row],[Quantity]]*Tablo1[[#This Row],[Unit_Cost]])</f>
        <v>8672</v>
      </c>
    </row>
    <row r="599" spans="1:12" x14ac:dyDescent="0.3">
      <c r="A599" s="2">
        <v>1598</v>
      </c>
      <c r="B599" s="7">
        <v>45566</v>
      </c>
      <c r="C599" s="8" t="s">
        <v>75</v>
      </c>
      <c r="D599" s="2" t="s">
        <v>10</v>
      </c>
      <c r="E599" s="2" t="s">
        <v>38</v>
      </c>
      <c r="F599" s="2" t="s">
        <v>33</v>
      </c>
      <c r="G599" s="2" t="s">
        <v>34</v>
      </c>
      <c r="H599" s="2">
        <v>9</v>
      </c>
      <c r="I599" s="4">
        <v>3836</v>
      </c>
      <c r="J599" s="4">
        <v>2873</v>
      </c>
      <c r="K599" s="4">
        <f>Tablo1[[#This Row],[Quantity]]*Tablo1[[#This Row],[Unit_Price]]</f>
        <v>34524</v>
      </c>
      <c r="L599" s="4">
        <f>Tablo1[[#This Row],[Sales]]-(Tablo1[[#This Row],[Quantity]]*Tablo1[[#This Row],[Unit_Cost]])</f>
        <v>8667</v>
      </c>
    </row>
    <row r="600" spans="1:12" x14ac:dyDescent="0.3">
      <c r="A600" s="2">
        <v>1599</v>
      </c>
      <c r="B600" s="7">
        <v>45534</v>
      </c>
      <c r="C600" s="8" t="s">
        <v>76</v>
      </c>
      <c r="D600" s="2" t="s">
        <v>35</v>
      </c>
      <c r="E600" s="2" t="s">
        <v>20</v>
      </c>
      <c r="F600" s="2" t="s">
        <v>40</v>
      </c>
      <c r="G600" s="2" t="s">
        <v>25</v>
      </c>
      <c r="H600" s="2">
        <v>4</v>
      </c>
      <c r="I600" s="4">
        <v>4968</v>
      </c>
      <c r="J600" s="4">
        <v>3032</v>
      </c>
      <c r="K600" s="4">
        <f>Tablo1[[#This Row],[Quantity]]*Tablo1[[#This Row],[Unit_Price]]</f>
        <v>19872</v>
      </c>
      <c r="L600" s="4">
        <f>Tablo1[[#This Row],[Sales]]-(Tablo1[[#This Row],[Quantity]]*Tablo1[[#This Row],[Unit_Cost]])</f>
        <v>7744</v>
      </c>
    </row>
    <row r="601" spans="1:12" x14ac:dyDescent="0.3">
      <c r="A601" s="2">
        <v>1600</v>
      </c>
      <c r="B601" s="7">
        <v>45610</v>
      </c>
      <c r="C601" s="8" t="s">
        <v>75</v>
      </c>
      <c r="D601" s="2" t="s">
        <v>32</v>
      </c>
      <c r="E601" s="2" t="s">
        <v>23</v>
      </c>
      <c r="F601" s="2" t="s">
        <v>11</v>
      </c>
      <c r="G601" s="2" t="s">
        <v>12</v>
      </c>
      <c r="H601" s="2">
        <v>1</v>
      </c>
      <c r="I601" s="4">
        <v>7162</v>
      </c>
      <c r="J601" s="4">
        <v>5211</v>
      </c>
      <c r="K601" s="4">
        <f>Tablo1[[#This Row],[Quantity]]*Tablo1[[#This Row],[Unit_Price]]</f>
        <v>7162</v>
      </c>
      <c r="L601" s="4">
        <f>Tablo1[[#This Row],[Sales]]-(Tablo1[[#This Row],[Quantity]]*Tablo1[[#This Row],[Unit_Cost]])</f>
        <v>1951</v>
      </c>
    </row>
    <row r="602" spans="1:12" x14ac:dyDescent="0.3">
      <c r="A602" s="2">
        <v>1601</v>
      </c>
      <c r="B602" s="7">
        <v>45568</v>
      </c>
      <c r="C602" s="8" t="s">
        <v>74</v>
      </c>
      <c r="D602" s="2" t="s">
        <v>10</v>
      </c>
      <c r="E602" s="2" t="s">
        <v>30</v>
      </c>
      <c r="F602" s="2" t="s">
        <v>40</v>
      </c>
      <c r="G602" s="2" t="s">
        <v>25</v>
      </c>
      <c r="H602" s="2">
        <v>3</v>
      </c>
      <c r="I602" s="4">
        <v>5442</v>
      </c>
      <c r="J602" s="4">
        <v>2782</v>
      </c>
      <c r="K602" s="4">
        <f>Tablo1[[#This Row],[Quantity]]*Tablo1[[#This Row],[Unit_Price]]</f>
        <v>16326</v>
      </c>
      <c r="L602" s="4">
        <f>Tablo1[[#This Row],[Sales]]-(Tablo1[[#This Row],[Quantity]]*Tablo1[[#This Row],[Unit_Cost]])</f>
        <v>7980</v>
      </c>
    </row>
    <row r="603" spans="1:12" x14ac:dyDescent="0.3">
      <c r="A603" s="2">
        <v>1602</v>
      </c>
      <c r="B603" s="7">
        <v>45469</v>
      </c>
      <c r="C603" s="8" t="s">
        <v>73</v>
      </c>
      <c r="D603" s="2" t="s">
        <v>35</v>
      </c>
      <c r="E603" s="2" t="s">
        <v>38</v>
      </c>
      <c r="F603" s="2" t="s">
        <v>50</v>
      </c>
      <c r="G603" s="2" t="s">
        <v>28</v>
      </c>
      <c r="H603" s="2">
        <v>6</v>
      </c>
      <c r="I603" s="4">
        <v>675</v>
      </c>
      <c r="J603" s="4">
        <v>486</v>
      </c>
      <c r="K603" s="4">
        <f>Tablo1[[#This Row],[Quantity]]*Tablo1[[#This Row],[Unit_Price]]</f>
        <v>4050</v>
      </c>
      <c r="L603" s="4">
        <f>Tablo1[[#This Row],[Sales]]-(Tablo1[[#This Row],[Quantity]]*Tablo1[[#This Row],[Unit_Cost]])</f>
        <v>1134</v>
      </c>
    </row>
    <row r="604" spans="1:12" x14ac:dyDescent="0.3">
      <c r="A604" s="2">
        <v>1603</v>
      </c>
      <c r="B604" s="7">
        <v>45418</v>
      </c>
      <c r="C604" s="8" t="s">
        <v>73</v>
      </c>
      <c r="D604" s="2" t="s">
        <v>19</v>
      </c>
      <c r="E604" s="2" t="s">
        <v>30</v>
      </c>
      <c r="F604" s="2" t="s">
        <v>33</v>
      </c>
      <c r="G604" s="2" t="s">
        <v>34</v>
      </c>
      <c r="H604" s="2">
        <v>8</v>
      </c>
      <c r="I604" s="4">
        <v>2283</v>
      </c>
      <c r="J604" s="4">
        <v>1779</v>
      </c>
      <c r="K604" s="4">
        <f>Tablo1[[#This Row],[Quantity]]*Tablo1[[#This Row],[Unit_Price]]</f>
        <v>18264</v>
      </c>
      <c r="L604" s="4">
        <f>Tablo1[[#This Row],[Sales]]-(Tablo1[[#This Row],[Quantity]]*Tablo1[[#This Row],[Unit_Cost]])</f>
        <v>4032</v>
      </c>
    </row>
    <row r="605" spans="1:12" x14ac:dyDescent="0.3">
      <c r="A605" s="2">
        <v>1604</v>
      </c>
      <c r="B605" s="7">
        <v>45502</v>
      </c>
      <c r="C605" s="8" t="s">
        <v>75</v>
      </c>
      <c r="D605" s="2" t="s">
        <v>22</v>
      </c>
      <c r="E605" s="2" t="s">
        <v>23</v>
      </c>
      <c r="F605" s="2" t="s">
        <v>50</v>
      </c>
      <c r="G605" s="2" t="s">
        <v>28</v>
      </c>
      <c r="H605" s="2">
        <v>3</v>
      </c>
      <c r="I605" s="4">
        <v>330</v>
      </c>
      <c r="J605" s="4">
        <v>207</v>
      </c>
      <c r="K605" s="4">
        <f>Tablo1[[#This Row],[Quantity]]*Tablo1[[#This Row],[Unit_Price]]</f>
        <v>990</v>
      </c>
      <c r="L605" s="4">
        <f>Tablo1[[#This Row],[Sales]]-(Tablo1[[#This Row],[Quantity]]*Tablo1[[#This Row],[Unit_Cost]])</f>
        <v>369</v>
      </c>
    </row>
    <row r="606" spans="1:12" x14ac:dyDescent="0.3">
      <c r="A606" s="2">
        <v>1605</v>
      </c>
      <c r="B606" s="7">
        <v>45413</v>
      </c>
      <c r="C606" s="8" t="s">
        <v>74</v>
      </c>
      <c r="D606" s="2" t="s">
        <v>10</v>
      </c>
      <c r="E606" s="2" t="s">
        <v>38</v>
      </c>
      <c r="F606" s="2" t="s">
        <v>16</v>
      </c>
      <c r="G606" s="2" t="s">
        <v>17</v>
      </c>
      <c r="H606" s="2">
        <v>8</v>
      </c>
      <c r="I606" s="4">
        <v>7111</v>
      </c>
      <c r="J606" s="4">
        <v>4622</v>
      </c>
      <c r="K606" s="4">
        <f>Tablo1[[#This Row],[Quantity]]*Tablo1[[#This Row],[Unit_Price]]</f>
        <v>56888</v>
      </c>
      <c r="L606" s="4">
        <f>Tablo1[[#This Row],[Sales]]-(Tablo1[[#This Row],[Quantity]]*Tablo1[[#This Row],[Unit_Cost]])</f>
        <v>19912</v>
      </c>
    </row>
    <row r="607" spans="1:12" x14ac:dyDescent="0.3">
      <c r="A607" s="2">
        <v>1606</v>
      </c>
      <c r="B607" s="7">
        <v>45510</v>
      </c>
      <c r="C607" s="8" t="s">
        <v>76</v>
      </c>
      <c r="D607" s="2" t="s">
        <v>19</v>
      </c>
      <c r="E607" s="2" t="s">
        <v>38</v>
      </c>
      <c r="F607" s="2" t="s">
        <v>37</v>
      </c>
      <c r="G607" s="2" t="s">
        <v>28</v>
      </c>
      <c r="H607" s="2">
        <v>4</v>
      </c>
      <c r="I607" s="4">
        <v>362</v>
      </c>
      <c r="J607" s="4">
        <v>270</v>
      </c>
      <c r="K607" s="4">
        <f>Tablo1[[#This Row],[Quantity]]*Tablo1[[#This Row],[Unit_Price]]</f>
        <v>1448</v>
      </c>
      <c r="L607" s="4">
        <f>Tablo1[[#This Row],[Sales]]-(Tablo1[[#This Row],[Quantity]]*Tablo1[[#This Row],[Unit_Cost]])</f>
        <v>368</v>
      </c>
    </row>
    <row r="608" spans="1:12" x14ac:dyDescent="0.3">
      <c r="A608" s="2">
        <v>1607</v>
      </c>
      <c r="B608" s="7">
        <v>45542</v>
      </c>
      <c r="C608" s="8" t="s">
        <v>75</v>
      </c>
      <c r="D608" s="2" t="s">
        <v>13</v>
      </c>
      <c r="E608" s="2" t="s">
        <v>23</v>
      </c>
      <c r="F608" s="2" t="s">
        <v>40</v>
      </c>
      <c r="G608" s="2" t="s">
        <v>25</v>
      </c>
      <c r="H608" s="2">
        <v>8</v>
      </c>
      <c r="I608" s="4">
        <v>7825</v>
      </c>
      <c r="J608" s="4">
        <v>6156</v>
      </c>
      <c r="K608" s="4">
        <f>Tablo1[[#This Row],[Quantity]]*Tablo1[[#This Row],[Unit_Price]]</f>
        <v>62600</v>
      </c>
      <c r="L608" s="4">
        <f>Tablo1[[#This Row],[Sales]]-(Tablo1[[#This Row],[Quantity]]*Tablo1[[#This Row],[Unit_Cost]])</f>
        <v>13352</v>
      </c>
    </row>
    <row r="609" spans="1:12" x14ac:dyDescent="0.3">
      <c r="A609" s="2">
        <v>1608</v>
      </c>
      <c r="B609" s="7">
        <v>45332</v>
      </c>
      <c r="C609" s="8" t="s">
        <v>73</v>
      </c>
      <c r="D609" s="2" t="s">
        <v>10</v>
      </c>
      <c r="E609" s="2" t="s">
        <v>23</v>
      </c>
      <c r="F609" s="2" t="s">
        <v>40</v>
      </c>
      <c r="G609" s="2" t="s">
        <v>25</v>
      </c>
      <c r="H609" s="2">
        <v>4</v>
      </c>
      <c r="I609" s="4">
        <v>2648</v>
      </c>
      <c r="J609" s="4">
        <v>1552</v>
      </c>
      <c r="K609" s="4">
        <f>Tablo1[[#This Row],[Quantity]]*Tablo1[[#This Row],[Unit_Price]]</f>
        <v>10592</v>
      </c>
      <c r="L609" s="4">
        <f>Tablo1[[#This Row],[Sales]]-(Tablo1[[#This Row],[Quantity]]*Tablo1[[#This Row],[Unit_Cost]])</f>
        <v>4384</v>
      </c>
    </row>
    <row r="610" spans="1:12" x14ac:dyDescent="0.3">
      <c r="A610" s="2">
        <v>1609</v>
      </c>
      <c r="B610" s="7">
        <v>45566</v>
      </c>
      <c r="C610" s="8" t="s">
        <v>76</v>
      </c>
      <c r="D610" s="2" t="s">
        <v>32</v>
      </c>
      <c r="E610" s="2" t="s">
        <v>20</v>
      </c>
      <c r="F610" s="2" t="s">
        <v>45</v>
      </c>
      <c r="G610" s="2" t="s">
        <v>34</v>
      </c>
      <c r="H610" s="2">
        <v>6</v>
      </c>
      <c r="I610" s="4">
        <v>6885</v>
      </c>
      <c r="J610" s="4">
        <v>4795</v>
      </c>
      <c r="K610" s="4">
        <f>Tablo1[[#This Row],[Quantity]]*Tablo1[[#This Row],[Unit_Price]]</f>
        <v>41310</v>
      </c>
      <c r="L610" s="4">
        <f>Tablo1[[#This Row],[Sales]]-(Tablo1[[#This Row],[Quantity]]*Tablo1[[#This Row],[Unit_Cost]])</f>
        <v>12540</v>
      </c>
    </row>
    <row r="611" spans="1:12" x14ac:dyDescent="0.3">
      <c r="A611" s="2">
        <v>1610</v>
      </c>
      <c r="B611" s="7">
        <v>45517</v>
      </c>
      <c r="C611" s="8" t="s">
        <v>74</v>
      </c>
      <c r="D611" s="2" t="s">
        <v>32</v>
      </c>
      <c r="E611" s="2" t="s">
        <v>26</v>
      </c>
      <c r="F611" s="2" t="s">
        <v>49</v>
      </c>
      <c r="G611" s="2" t="s">
        <v>12</v>
      </c>
      <c r="H611" s="2">
        <v>3</v>
      </c>
      <c r="I611" s="4">
        <v>8293</v>
      </c>
      <c r="J611" s="4">
        <v>5050</v>
      </c>
      <c r="K611" s="4">
        <f>Tablo1[[#This Row],[Quantity]]*Tablo1[[#This Row],[Unit_Price]]</f>
        <v>24879</v>
      </c>
      <c r="L611" s="4">
        <f>Tablo1[[#This Row],[Sales]]-(Tablo1[[#This Row],[Quantity]]*Tablo1[[#This Row],[Unit_Cost]])</f>
        <v>9729</v>
      </c>
    </row>
    <row r="612" spans="1:12" x14ac:dyDescent="0.3">
      <c r="A612" s="2">
        <v>1611</v>
      </c>
      <c r="B612" s="7">
        <v>45586</v>
      </c>
      <c r="C612" s="8" t="s">
        <v>77</v>
      </c>
      <c r="D612" s="2" t="s">
        <v>44</v>
      </c>
      <c r="E612" s="2" t="s">
        <v>23</v>
      </c>
      <c r="F612" s="2" t="s">
        <v>50</v>
      </c>
      <c r="G612" s="2" t="s">
        <v>28</v>
      </c>
      <c r="H612" s="2">
        <v>9</v>
      </c>
      <c r="I612" s="4">
        <v>1969</v>
      </c>
      <c r="J612" s="4">
        <v>1107</v>
      </c>
      <c r="K612" s="4">
        <f>Tablo1[[#This Row],[Quantity]]*Tablo1[[#This Row],[Unit_Price]]</f>
        <v>17721</v>
      </c>
      <c r="L612" s="4">
        <f>Tablo1[[#This Row],[Sales]]-(Tablo1[[#This Row],[Quantity]]*Tablo1[[#This Row],[Unit_Cost]])</f>
        <v>7758</v>
      </c>
    </row>
    <row r="613" spans="1:12" x14ac:dyDescent="0.3">
      <c r="A613" s="2">
        <v>1612</v>
      </c>
      <c r="B613" s="7">
        <v>45371</v>
      </c>
      <c r="C613" s="8" t="s">
        <v>75</v>
      </c>
      <c r="D613" s="2" t="s">
        <v>41</v>
      </c>
      <c r="E613" s="2" t="s">
        <v>20</v>
      </c>
      <c r="F613" s="2" t="s">
        <v>14</v>
      </c>
      <c r="G613" s="2" t="s">
        <v>12</v>
      </c>
      <c r="H613" s="2">
        <v>9</v>
      </c>
      <c r="I613" s="4">
        <v>5199</v>
      </c>
      <c r="J613" s="4">
        <v>3448</v>
      </c>
      <c r="K613" s="4">
        <f>Tablo1[[#This Row],[Quantity]]*Tablo1[[#This Row],[Unit_Price]]</f>
        <v>46791</v>
      </c>
      <c r="L613" s="4">
        <f>Tablo1[[#This Row],[Sales]]-(Tablo1[[#This Row],[Quantity]]*Tablo1[[#This Row],[Unit_Cost]])</f>
        <v>15759</v>
      </c>
    </row>
    <row r="614" spans="1:12" x14ac:dyDescent="0.3">
      <c r="A614" s="2">
        <v>1613</v>
      </c>
      <c r="B614" s="7">
        <v>45458</v>
      </c>
      <c r="C614" s="8" t="s">
        <v>76</v>
      </c>
      <c r="D614" s="2" t="s">
        <v>35</v>
      </c>
      <c r="E614" s="2" t="s">
        <v>30</v>
      </c>
      <c r="F614" s="2" t="s">
        <v>39</v>
      </c>
      <c r="G614" s="2" t="s">
        <v>28</v>
      </c>
      <c r="H614" s="2">
        <v>4</v>
      </c>
      <c r="I614" s="4">
        <v>3538</v>
      </c>
      <c r="J614" s="4">
        <v>2729</v>
      </c>
      <c r="K614" s="4">
        <f>Tablo1[[#This Row],[Quantity]]*Tablo1[[#This Row],[Unit_Price]]</f>
        <v>14152</v>
      </c>
      <c r="L614" s="4">
        <f>Tablo1[[#This Row],[Sales]]-(Tablo1[[#This Row],[Quantity]]*Tablo1[[#This Row],[Unit_Cost]])</f>
        <v>3236</v>
      </c>
    </row>
    <row r="615" spans="1:12" x14ac:dyDescent="0.3">
      <c r="A615" s="2">
        <v>1614</v>
      </c>
      <c r="B615" s="7">
        <v>45506</v>
      </c>
      <c r="C615" s="8" t="s">
        <v>75</v>
      </c>
      <c r="D615" s="2" t="s">
        <v>41</v>
      </c>
      <c r="E615" s="2" t="s">
        <v>30</v>
      </c>
      <c r="F615" s="2" t="s">
        <v>39</v>
      </c>
      <c r="G615" s="2" t="s">
        <v>28</v>
      </c>
      <c r="H615" s="2">
        <v>4</v>
      </c>
      <c r="I615" s="4">
        <v>2977</v>
      </c>
      <c r="J615" s="4">
        <v>1911</v>
      </c>
      <c r="K615" s="4">
        <f>Tablo1[[#This Row],[Quantity]]*Tablo1[[#This Row],[Unit_Price]]</f>
        <v>11908</v>
      </c>
      <c r="L615" s="4">
        <f>Tablo1[[#This Row],[Sales]]-(Tablo1[[#This Row],[Quantity]]*Tablo1[[#This Row],[Unit_Cost]])</f>
        <v>4264</v>
      </c>
    </row>
    <row r="616" spans="1:12" x14ac:dyDescent="0.3">
      <c r="A616" s="2">
        <v>1615</v>
      </c>
      <c r="B616" s="7">
        <v>45536</v>
      </c>
      <c r="C616" s="8" t="s">
        <v>74</v>
      </c>
      <c r="D616" s="2" t="s">
        <v>19</v>
      </c>
      <c r="E616" s="2" t="s">
        <v>20</v>
      </c>
      <c r="F616" s="2" t="s">
        <v>11</v>
      </c>
      <c r="G616" s="2" t="s">
        <v>12</v>
      </c>
      <c r="H616" s="2">
        <v>1</v>
      </c>
      <c r="I616" s="4">
        <v>24792</v>
      </c>
      <c r="J616" s="4">
        <v>12557</v>
      </c>
      <c r="K616" s="4">
        <f>Tablo1[[#This Row],[Quantity]]*Tablo1[[#This Row],[Unit_Price]]</f>
        <v>24792</v>
      </c>
      <c r="L616" s="4">
        <f>Tablo1[[#This Row],[Sales]]-(Tablo1[[#This Row],[Quantity]]*Tablo1[[#This Row],[Unit_Cost]])</f>
        <v>12235</v>
      </c>
    </row>
    <row r="617" spans="1:12" x14ac:dyDescent="0.3">
      <c r="A617" s="2">
        <v>1616</v>
      </c>
      <c r="B617" s="7">
        <v>45526</v>
      </c>
      <c r="C617" s="8" t="s">
        <v>73</v>
      </c>
      <c r="D617" s="2" t="s">
        <v>44</v>
      </c>
      <c r="E617" s="2" t="s">
        <v>38</v>
      </c>
      <c r="F617" s="2" t="s">
        <v>29</v>
      </c>
      <c r="G617" s="2" t="s">
        <v>25</v>
      </c>
      <c r="H617" s="2">
        <v>6</v>
      </c>
      <c r="I617" s="4">
        <v>6434</v>
      </c>
      <c r="J617" s="4">
        <v>4459</v>
      </c>
      <c r="K617" s="4">
        <f>Tablo1[[#This Row],[Quantity]]*Tablo1[[#This Row],[Unit_Price]]</f>
        <v>38604</v>
      </c>
      <c r="L617" s="4">
        <f>Tablo1[[#This Row],[Sales]]-(Tablo1[[#This Row],[Quantity]]*Tablo1[[#This Row],[Unit_Cost]])</f>
        <v>11850</v>
      </c>
    </row>
    <row r="618" spans="1:12" x14ac:dyDescent="0.3">
      <c r="A618" s="2">
        <v>1617</v>
      </c>
      <c r="B618" s="7">
        <v>45322</v>
      </c>
      <c r="C618" s="8" t="s">
        <v>73</v>
      </c>
      <c r="D618" s="2" t="s">
        <v>32</v>
      </c>
      <c r="E618" s="2" t="s">
        <v>20</v>
      </c>
      <c r="F618" s="2" t="s">
        <v>49</v>
      </c>
      <c r="G618" s="2" t="s">
        <v>12</v>
      </c>
      <c r="H618" s="2">
        <v>9</v>
      </c>
      <c r="I618" s="4">
        <v>24126</v>
      </c>
      <c r="J618" s="4">
        <v>17372</v>
      </c>
      <c r="K618" s="4">
        <f>Tablo1[[#This Row],[Quantity]]*Tablo1[[#This Row],[Unit_Price]]</f>
        <v>217134</v>
      </c>
      <c r="L618" s="4">
        <f>Tablo1[[#This Row],[Sales]]-(Tablo1[[#This Row],[Quantity]]*Tablo1[[#This Row],[Unit_Cost]])</f>
        <v>60786</v>
      </c>
    </row>
    <row r="619" spans="1:12" x14ac:dyDescent="0.3">
      <c r="A619" s="2">
        <v>1618</v>
      </c>
      <c r="B619" s="7">
        <v>45503</v>
      </c>
      <c r="C619" s="8" t="s">
        <v>75</v>
      </c>
      <c r="D619" s="2" t="s">
        <v>22</v>
      </c>
      <c r="E619" s="2" t="s">
        <v>23</v>
      </c>
      <c r="F619" s="2" t="s">
        <v>29</v>
      </c>
      <c r="G619" s="2" t="s">
        <v>25</v>
      </c>
      <c r="H619" s="2">
        <v>9</v>
      </c>
      <c r="I619" s="4">
        <v>4868</v>
      </c>
      <c r="J619" s="4">
        <v>2958</v>
      </c>
      <c r="K619" s="4">
        <f>Tablo1[[#This Row],[Quantity]]*Tablo1[[#This Row],[Unit_Price]]</f>
        <v>43812</v>
      </c>
      <c r="L619" s="4">
        <f>Tablo1[[#This Row],[Sales]]-(Tablo1[[#This Row],[Quantity]]*Tablo1[[#This Row],[Unit_Cost]])</f>
        <v>17190</v>
      </c>
    </row>
    <row r="620" spans="1:12" x14ac:dyDescent="0.3">
      <c r="A620" s="2">
        <v>1619</v>
      </c>
      <c r="B620" s="7">
        <v>45424</v>
      </c>
      <c r="C620" s="8" t="s">
        <v>74</v>
      </c>
      <c r="D620" s="2" t="s">
        <v>43</v>
      </c>
      <c r="E620" s="2" t="s">
        <v>26</v>
      </c>
      <c r="F620" s="2" t="s">
        <v>21</v>
      </c>
      <c r="G620" s="2" t="s">
        <v>17</v>
      </c>
      <c r="H620" s="2">
        <v>6</v>
      </c>
      <c r="I620" s="4">
        <v>10556</v>
      </c>
      <c r="J620" s="4">
        <v>7163</v>
      </c>
      <c r="K620" s="4">
        <f>Tablo1[[#This Row],[Quantity]]*Tablo1[[#This Row],[Unit_Price]]</f>
        <v>63336</v>
      </c>
      <c r="L620" s="4">
        <f>Tablo1[[#This Row],[Sales]]-(Tablo1[[#This Row],[Quantity]]*Tablo1[[#This Row],[Unit_Cost]])</f>
        <v>20358</v>
      </c>
    </row>
    <row r="621" spans="1:12" x14ac:dyDescent="0.3">
      <c r="A621" s="2">
        <v>1620</v>
      </c>
      <c r="B621" s="7">
        <v>45533</v>
      </c>
      <c r="C621" s="8" t="s">
        <v>76</v>
      </c>
      <c r="D621" s="2" t="s">
        <v>22</v>
      </c>
      <c r="E621" s="2" t="s">
        <v>38</v>
      </c>
      <c r="F621" s="2" t="s">
        <v>42</v>
      </c>
      <c r="G621" s="2" t="s">
        <v>12</v>
      </c>
      <c r="H621" s="2">
        <v>10</v>
      </c>
      <c r="I621" s="4">
        <v>11857</v>
      </c>
      <c r="J621" s="4">
        <v>7450</v>
      </c>
      <c r="K621" s="4">
        <f>Tablo1[[#This Row],[Quantity]]*Tablo1[[#This Row],[Unit_Price]]</f>
        <v>118570</v>
      </c>
      <c r="L621" s="4">
        <f>Tablo1[[#This Row],[Sales]]-(Tablo1[[#This Row],[Quantity]]*Tablo1[[#This Row],[Unit_Cost]])</f>
        <v>44070</v>
      </c>
    </row>
    <row r="622" spans="1:12" x14ac:dyDescent="0.3">
      <c r="A622" s="2">
        <v>1621</v>
      </c>
      <c r="B622" s="7">
        <v>45547</v>
      </c>
      <c r="C622" s="8" t="s">
        <v>75</v>
      </c>
      <c r="D622" s="2" t="s">
        <v>19</v>
      </c>
      <c r="E622" s="2" t="s">
        <v>26</v>
      </c>
      <c r="F622" s="2" t="s">
        <v>11</v>
      </c>
      <c r="G622" s="2" t="s">
        <v>12</v>
      </c>
      <c r="H622" s="2">
        <v>2</v>
      </c>
      <c r="I622" s="4">
        <v>6701</v>
      </c>
      <c r="J622" s="4">
        <v>5127</v>
      </c>
      <c r="K622" s="4">
        <f>Tablo1[[#This Row],[Quantity]]*Tablo1[[#This Row],[Unit_Price]]</f>
        <v>13402</v>
      </c>
      <c r="L622" s="4">
        <f>Tablo1[[#This Row],[Sales]]-(Tablo1[[#This Row],[Quantity]]*Tablo1[[#This Row],[Unit_Cost]])</f>
        <v>3148</v>
      </c>
    </row>
    <row r="623" spans="1:12" x14ac:dyDescent="0.3">
      <c r="A623" s="2">
        <v>1622</v>
      </c>
      <c r="B623" s="7">
        <v>45588</v>
      </c>
      <c r="C623" s="8" t="s">
        <v>73</v>
      </c>
      <c r="D623" s="2" t="s">
        <v>43</v>
      </c>
      <c r="E623" s="2" t="s">
        <v>20</v>
      </c>
      <c r="F623" s="2" t="s">
        <v>37</v>
      </c>
      <c r="G623" s="2" t="s">
        <v>28</v>
      </c>
      <c r="H623" s="2">
        <v>2</v>
      </c>
      <c r="I623" s="4">
        <v>3358</v>
      </c>
      <c r="J623" s="4">
        <v>2572</v>
      </c>
      <c r="K623" s="4">
        <f>Tablo1[[#This Row],[Quantity]]*Tablo1[[#This Row],[Unit_Price]]</f>
        <v>6716</v>
      </c>
      <c r="L623" s="4">
        <f>Tablo1[[#This Row],[Sales]]-(Tablo1[[#This Row],[Quantity]]*Tablo1[[#This Row],[Unit_Cost]])</f>
        <v>1572</v>
      </c>
    </row>
    <row r="624" spans="1:12" x14ac:dyDescent="0.3">
      <c r="A624" s="2">
        <v>1623</v>
      </c>
      <c r="B624" s="7">
        <v>45448</v>
      </c>
      <c r="C624" s="8" t="s">
        <v>76</v>
      </c>
      <c r="D624" s="2" t="s">
        <v>32</v>
      </c>
      <c r="E624" s="2" t="s">
        <v>26</v>
      </c>
      <c r="F624" s="2" t="s">
        <v>16</v>
      </c>
      <c r="G624" s="2" t="s">
        <v>17</v>
      </c>
      <c r="H624" s="2">
        <v>10</v>
      </c>
      <c r="I624" s="4">
        <v>4426</v>
      </c>
      <c r="J624" s="4">
        <v>2306</v>
      </c>
      <c r="K624" s="4">
        <f>Tablo1[[#This Row],[Quantity]]*Tablo1[[#This Row],[Unit_Price]]</f>
        <v>44260</v>
      </c>
      <c r="L624" s="4">
        <f>Tablo1[[#This Row],[Sales]]-(Tablo1[[#This Row],[Quantity]]*Tablo1[[#This Row],[Unit_Cost]])</f>
        <v>21200</v>
      </c>
    </row>
    <row r="625" spans="1:12" x14ac:dyDescent="0.3">
      <c r="A625" s="2">
        <v>1624</v>
      </c>
      <c r="B625" s="7">
        <v>45572</v>
      </c>
      <c r="C625" s="8" t="s">
        <v>74</v>
      </c>
      <c r="D625" s="2" t="s">
        <v>19</v>
      </c>
      <c r="E625" s="2" t="s">
        <v>20</v>
      </c>
      <c r="F625" s="2" t="s">
        <v>14</v>
      </c>
      <c r="G625" s="2" t="s">
        <v>12</v>
      </c>
      <c r="H625" s="2">
        <v>1</v>
      </c>
      <c r="I625" s="4">
        <v>20318</v>
      </c>
      <c r="J625" s="4">
        <v>14495</v>
      </c>
      <c r="K625" s="4">
        <f>Tablo1[[#This Row],[Quantity]]*Tablo1[[#This Row],[Unit_Price]]</f>
        <v>20318</v>
      </c>
      <c r="L625" s="4">
        <f>Tablo1[[#This Row],[Sales]]-(Tablo1[[#This Row],[Quantity]]*Tablo1[[#This Row],[Unit_Cost]])</f>
        <v>5823</v>
      </c>
    </row>
    <row r="626" spans="1:12" x14ac:dyDescent="0.3">
      <c r="A626" s="2">
        <v>1625</v>
      </c>
      <c r="B626" s="7">
        <v>45436</v>
      </c>
      <c r="C626" s="8" t="s">
        <v>77</v>
      </c>
      <c r="D626" s="2" t="s">
        <v>10</v>
      </c>
      <c r="E626" s="2" t="s">
        <v>30</v>
      </c>
      <c r="F626" s="2" t="s">
        <v>47</v>
      </c>
      <c r="G626" s="2" t="s">
        <v>25</v>
      </c>
      <c r="H626" s="2">
        <v>2</v>
      </c>
      <c r="I626" s="4">
        <v>4621</v>
      </c>
      <c r="J626" s="4">
        <v>3436</v>
      </c>
      <c r="K626" s="4">
        <f>Tablo1[[#This Row],[Quantity]]*Tablo1[[#This Row],[Unit_Price]]</f>
        <v>9242</v>
      </c>
      <c r="L626" s="4">
        <f>Tablo1[[#This Row],[Sales]]-(Tablo1[[#This Row],[Quantity]]*Tablo1[[#This Row],[Unit_Cost]])</f>
        <v>2370</v>
      </c>
    </row>
    <row r="627" spans="1:12" x14ac:dyDescent="0.3">
      <c r="A627" s="2">
        <v>1626</v>
      </c>
      <c r="B627" s="7">
        <v>45523</v>
      </c>
      <c r="C627" s="8" t="s">
        <v>75</v>
      </c>
      <c r="D627" s="2" t="s">
        <v>35</v>
      </c>
      <c r="E627" s="2" t="s">
        <v>30</v>
      </c>
      <c r="F627" s="2" t="s">
        <v>24</v>
      </c>
      <c r="G627" s="2" t="s">
        <v>25</v>
      </c>
      <c r="H627" s="2">
        <v>2</v>
      </c>
      <c r="I627" s="4">
        <v>5727</v>
      </c>
      <c r="J627" s="4">
        <v>3028</v>
      </c>
      <c r="K627" s="4">
        <f>Tablo1[[#This Row],[Quantity]]*Tablo1[[#This Row],[Unit_Price]]</f>
        <v>11454</v>
      </c>
      <c r="L627" s="4">
        <f>Tablo1[[#This Row],[Sales]]-(Tablo1[[#This Row],[Quantity]]*Tablo1[[#This Row],[Unit_Cost]])</f>
        <v>5398</v>
      </c>
    </row>
    <row r="628" spans="1:12" x14ac:dyDescent="0.3">
      <c r="A628" s="2">
        <v>1627</v>
      </c>
      <c r="B628" s="7">
        <v>45422</v>
      </c>
      <c r="C628" s="8" t="s">
        <v>76</v>
      </c>
      <c r="D628" s="2" t="s">
        <v>19</v>
      </c>
      <c r="E628" s="2" t="s">
        <v>30</v>
      </c>
      <c r="F628" s="2" t="s">
        <v>50</v>
      </c>
      <c r="G628" s="2" t="s">
        <v>28</v>
      </c>
      <c r="H628" s="2">
        <v>6</v>
      </c>
      <c r="I628" s="4">
        <v>841</v>
      </c>
      <c r="J628" s="4">
        <v>629</v>
      </c>
      <c r="K628" s="4">
        <f>Tablo1[[#This Row],[Quantity]]*Tablo1[[#This Row],[Unit_Price]]</f>
        <v>5046</v>
      </c>
      <c r="L628" s="4">
        <f>Tablo1[[#This Row],[Sales]]-(Tablo1[[#This Row],[Quantity]]*Tablo1[[#This Row],[Unit_Cost]])</f>
        <v>1272</v>
      </c>
    </row>
    <row r="629" spans="1:12" x14ac:dyDescent="0.3">
      <c r="A629" s="2">
        <v>1628</v>
      </c>
      <c r="B629" s="7">
        <v>45425</v>
      </c>
      <c r="C629" s="8" t="s">
        <v>75</v>
      </c>
      <c r="D629" s="2" t="s">
        <v>13</v>
      </c>
      <c r="E629" s="2" t="s">
        <v>20</v>
      </c>
      <c r="F629" s="2" t="s">
        <v>29</v>
      </c>
      <c r="G629" s="2" t="s">
        <v>25</v>
      </c>
      <c r="H629" s="2">
        <v>10</v>
      </c>
      <c r="I629" s="4">
        <v>2447</v>
      </c>
      <c r="J629" s="4">
        <v>1908</v>
      </c>
      <c r="K629" s="4">
        <f>Tablo1[[#This Row],[Quantity]]*Tablo1[[#This Row],[Unit_Price]]</f>
        <v>24470</v>
      </c>
      <c r="L629" s="4">
        <f>Tablo1[[#This Row],[Sales]]-(Tablo1[[#This Row],[Quantity]]*Tablo1[[#This Row],[Unit_Cost]])</f>
        <v>5390</v>
      </c>
    </row>
    <row r="630" spans="1:12" x14ac:dyDescent="0.3">
      <c r="A630" s="2">
        <v>1629</v>
      </c>
      <c r="B630" s="7">
        <v>45336</v>
      </c>
      <c r="C630" s="8" t="s">
        <v>74</v>
      </c>
      <c r="D630" s="2" t="s">
        <v>13</v>
      </c>
      <c r="E630" s="2" t="s">
        <v>30</v>
      </c>
      <c r="F630" s="2" t="s">
        <v>48</v>
      </c>
      <c r="G630" s="2" t="s">
        <v>34</v>
      </c>
      <c r="H630" s="2">
        <v>4</v>
      </c>
      <c r="I630" s="4">
        <v>4689</v>
      </c>
      <c r="J630" s="4">
        <v>3518</v>
      </c>
      <c r="K630" s="4">
        <f>Tablo1[[#This Row],[Quantity]]*Tablo1[[#This Row],[Unit_Price]]</f>
        <v>18756</v>
      </c>
      <c r="L630" s="4">
        <f>Tablo1[[#This Row],[Sales]]-(Tablo1[[#This Row],[Quantity]]*Tablo1[[#This Row],[Unit_Cost]])</f>
        <v>4684</v>
      </c>
    </row>
    <row r="631" spans="1:12" x14ac:dyDescent="0.3">
      <c r="A631" s="2">
        <v>1630</v>
      </c>
      <c r="B631" s="7">
        <v>45521</v>
      </c>
      <c r="C631" s="8" t="s">
        <v>73</v>
      </c>
      <c r="D631" s="2" t="s">
        <v>32</v>
      </c>
      <c r="E631" s="2" t="s">
        <v>26</v>
      </c>
      <c r="F631" s="2" t="s">
        <v>48</v>
      </c>
      <c r="G631" s="2" t="s">
        <v>34</v>
      </c>
      <c r="H631" s="2">
        <v>7</v>
      </c>
      <c r="I631" s="4">
        <v>3150</v>
      </c>
      <c r="J631" s="4">
        <v>1975</v>
      </c>
      <c r="K631" s="4">
        <f>Tablo1[[#This Row],[Quantity]]*Tablo1[[#This Row],[Unit_Price]]</f>
        <v>22050</v>
      </c>
      <c r="L631" s="4">
        <f>Tablo1[[#This Row],[Sales]]-(Tablo1[[#This Row],[Quantity]]*Tablo1[[#This Row],[Unit_Cost]])</f>
        <v>8225</v>
      </c>
    </row>
    <row r="632" spans="1:12" x14ac:dyDescent="0.3">
      <c r="A632" s="2">
        <v>1631</v>
      </c>
      <c r="B632" s="7">
        <v>45594</v>
      </c>
      <c r="C632" s="8" t="s">
        <v>73</v>
      </c>
      <c r="D632" s="2" t="s">
        <v>19</v>
      </c>
      <c r="E632" s="2" t="s">
        <v>30</v>
      </c>
      <c r="F632" s="2" t="s">
        <v>36</v>
      </c>
      <c r="G632" s="2" t="s">
        <v>34</v>
      </c>
      <c r="H632" s="2">
        <v>9</v>
      </c>
      <c r="I632" s="4">
        <v>2549</v>
      </c>
      <c r="J632" s="4">
        <v>1983</v>
      </c>
      <c r="K632" s="4">
        <f>Tablo1[[#This Row],[Quantity]]*Tablo1[[#This Row],[Unit_Price]]</f>
        <v>22941</v>
      </c>
      <c r="L632" s="4">
        <f>Tablo1[[#This Row],[Sales]]-(Tablo1[[#This Row],[Quantity]]*Tablo1[[#This Row],[Unit_Cost]])</f>
        <v>5094</v>
      </c>
    </row>
    <row r="633" spans="1:12" x14ac:dyDescent="0.3">
      <c r="A633" s="2">
        <v>1632</v>
      </c>
      <c r="B633" s="7">
        <v>45493</v>
      </c>
      <c r="C633" s="8" t="s">
        <v>75</v>
      </c>
      <c r="D633" s="2" t="s">
        <v>44</v>
      </c>
      <c r="E633" s="2" t="s">
        <v>23</v>
      </c>
      <c r="F633" s="2" t="s">
        <v>24</v>
      </c>
      <c r="G633" s="2" t="s">
        <v>25</v>
      </c>
      <c r="H633" s="2">
        <v>9</v>
      </c>
      <c r="I633" s="4">
        <v>1238</v>
      </c>
      <c r="J633" s="4">
        <v>626</v>
      </c>
      <c r="K633" s="4">
        <f>Tablo1[[#This Row],[Quantity]]*Tablo1[[#This Row],[Unit_Price]]</f>
        <v>11142</v>
      </c>
      <c r="L633" s="4">
        <f>Tablo1[[#This Row],[Sales]]-(Tablo1[[#This Row],[Quantity]]*Tablo1[[#This Row],[Unit_Cost]])</f>
        <v>5508</v>
      </c>
    </row>
    <row r="634" spans="1:12" x14ac:dyDescent="0.3">
      <c r="A634" s="2">
        <v>1633</v>
      </c>
      <c r="B634" s="7">
        <v>45608</v>
      </c>
      <c r="C634" s="8" t="s">
        <v>74</v>
      </c>
      <c r="D634" s="2" t="s">
        <v>32</v>
      </c>
      <c r="E634" s="2" t="s">
        <v>20</v>
      </c>
      <c r="F634" s="2" t="s">
        <v>42</v>
      </c>
      <c r="G634" s="2" t="s">
        <v>12</v>
      </c>
      <c r="H634" s="2">
        <v>10</v>
      </c>
      <c r="I634" s="4">
        <v>9307</v>
      </c>
      <c r="J634" s="4">
        <v>5758</v>
      </c>
      <c r="K634" s="4">
        <f>Tablo1[[#This Row],[Quantity]]*Tablo1[[#This Row],[Unit_Price]]</f>
        <v>93070</v>
      </c>
      <c r="L634" s="4">
        <f>Tablo1[[#This Row],[Sales]]-(Tablo1[[#This Row],[Quantity]]*Tablo1[[#This Row],[Unit_Cost]])</f>
        <v>35490</v>
      </c>
    </row>
    <row r="635" spans="1:12" x14ac:dyDescent="0.3">
      <c r="A635" s="2">
        <v>1634</v>
      </c>
      <c r="B635" s="7">
        <v>45577</v>
      </c>
      <c r="C635" s="8" t="s">
        <v>76</v>
      </c>
      <c r="D635" s="2" t="s">
        <v>35</v>
      </c>
      <c r="E635" s="2" t="s">
        <v>23</v>
      </c>
      <c r="F635" s="2" t="s">
        <v>14</v>
      </c>
      <c r="G635" s="2" t="s">
        <v>12</v>
      </c>
      <c r="H635" s="2">
        <v>7</v>
      </c>
      <c r="I635" s="4">
        <v>20114</v>
      </c>
      <c r="J635" s="4">
        <v>14643</v>
      </c>
      <c r="K635" s="4">
        <f>Tablo1[[#This Row],[Quantity]]*Tablo1[[#This Row],[Unit_Price]]</f>
        <v>140798</v>
      </c>
      <c r="L635" s="4">
        <f>Tablo1[[#This Row],[Sales]]-(Tablo1[[#This Row],[Quantity]]*Tablo1[[#This Row],[Unit_Cost]])</f>
        <v>38297</v>
      </c>
    </row>
    <row r="636" spans="1:12" x14ac:dyDescent="0.3">
      <c r="A636" s="2">
        <v>1635</v>
      </c>
      <c r="B636" s="7">
        <v>45371</v>
      </c>
      <c r="C636" s="8" t="s">
        <v>75</v>
      </c>
      <c r="D636" s="2" t="s">
        <v>13</v>
      </c>
      <c r="E636" s="2" t="s">
        <v>30</v>
      </c>
      <c r="F636" s="2" t="s">
        <v>46</v>
      </c>
      <c r="G636" s="2" t="s">
        <v>17</v>
      </c>
      <c r="H636" s="2">
        <v>6</v>
      </c>
      <c r="I636" s="4">
        <v>4628</v>
      </c>
      <c r="J636" s="4">
        <v>3662</v>
      </c>
      <c r="K636" s="4">
        <f>Tablo1[[#This Row],[Quantity]]*Tablo1[[#This Row],[Unit_Price]]</f>
        <v>27768</v>
      </c>
      <c r="L636" s="4">
        <f>Tablo1[[#This Row],[Sales]]-(Tablo1[[#This Row],[Quantity]]*Tablo1[[#This Row],[Unit_Cost]])</f>
        <v>5796</v>
      </c>
    </row>
    <row r="637" spans="1:12" x14ac:dyDescent="0.3">
      <c r="A637" s="2">
        <v>1636</v>
      </c>
      <c r="B637" s="7">
        <v>45356</v>
      </c>
      <c r="C637" s="8" t="s">
        <v>73</v>
      </c>
      <c r="D637" s="2" t="s">
        <v>32</v>
      </c>
      <c r="E637" s="2" t="s">
        <v>20</v>
      </c>
      <c r="F637" s="2" t="s">
        <v>11</v>
      </c>
      <c r="G637" s="2" t="s">
        <v>12</v>
      </c>
      <c r="H637" s="2">
        <v>10</v>
      </c>
      <c r="I637" s="4">
        <v>8559</v>
      </c>
      <c r="J637" s="4">
        <v>4738</v>
      </c>
      <c r="K637" s="4">
        <f>Tablo1[[#This Row],[Quantity]]*Tablo1[[#This Row],[Unit_Price]]</f>
        <v>85590</v>
      </c>
      <c r="L637" s="4">
        <f>Tablo1[[#This Row],[Sales]]-(Tablo1[[#This Row],[Quantity]]*Tablo1[[#This Row],[Unit_Cost]])</f>
        <v>38210</v>
      </c>
    </row>
    <row r="638" spans="1:12" x14ac:dyDescent="0.3">
      <c r="A638" s="2">
        <v>1637</v>
      </c>
      <c r="B638" s="7">
        <v>45429</v>
      </c>
      <c r="C638" s="8" t="s">
        <v>76</v>
      </c>
      <c r="D638" s="2" t="s">
        <v>15</v>
      </c>
      <c r="E638" s="2" t="s">
        <v>38</v>
      </c>
      <c r="F638" s="2" t="s">
        <v>40</v>
      </c>
      <c r="G638" s="2" t="s">
        <v>25</v>
      </c>
      <c r="H638" s="2">
        <v>5</v>
      </c>
      <c r="I638" s="4">
        <v>6628</v>
      </c>
      <c r="J638" s="4">
        <v>3650</v>
      </c>
      <c r="K638" s="4">
        <f>Tablo1[[#This Row],[Quantity]]*Tablo1[[#This Row],[Unit_Price]]</f>
        <v>33140</v>
      </c>
      <c r="L638" s="4">
        <f>Tablo1[[#This Row],[Sales]]-(Tablo1[[#This Row],[Quantity]]*Tablo1[[#This Row],[Unit_Cost]])</f>
        <v>14890</v>
      </c>
    </row>
    <row r="639" spans="1:12" x14ac:dyDescent="0.3">
      <c r="A639" s="2">
        <v>1638</v>
      </c>
      <c r="B639" s="7">
        <v>45400</v>
      </c>
      <c r="C639" s="8" t="s">
        <v>74</v>
      </c>
      <c r="D639" s="2" t="s">
        <v>13</v>
      </c>
      <c r="E639" s="2" t="s">
        <v>38</v>
      </c>
      <c r="F639" s="2" t="s">
        <v>48</v>
      </c>
      <c r="G639" s="2" t="s">
        <v>34</v>
      </c>
      <c r="H639" s="2">
        <v>3</v>
      </c>
      <c r="I639" s="4">
        <v>5929</v>
      </c>
      <c r="J639" s="4">
        <v>4408</v>
      </c>
      <c r="K639" s="4">
        <f>Tablo1[[#This Row],[Quantity]]*Tablo1[[#This Row],[Unit_Price]]</f>
        <v>17787</v>
      </c>
      <c r="L639" s="4">
        <f>Tablo1[[#This Row],[Sales]]-(Tablo1[[#This Row],[Quantity]]*Tablo1[[#This Row],[Unit_Cost]])</f>
        <v>4563</v>
      </c>
    </row>
    <row r="640" spans="1:12" x14ac:dyDescent="0.3">
      <c r="A640" s="2">
        <v>1639</v>
      </c>
      <c r="B640" s="7">
        <v>45435</v>
      </c>
      <c r="C640" s="8" t="s">
        <v>77</v>
      </c>
      <c r="D640" s="2" t="s">
        <v>32</v>
      </c>
      <c r="E640" s="2" t="s">
        <v>23</v>
      </c>
      <c r="F640" s="2" t="s">
        <v>24</v>
      </c>
      <c r="G640" s="2" t="s">
        <v>25</v>
      </c>
      <c r="H640" s="2">
        <v>7</v>
      </c>
      <c r="I640" s="4">
        <v>5732</v>
      </c>
      <c r="J640" s="4">
        <v>3138</v>
      </c>
      <c r="K640" s="4">
        <f>Tablo1[[#This Row],[Quantity]]*Tablo1[[#This Row],[Unit_Price]]</f>
        <v>40124</v>
      </c>
      <c r="L640" s="4">
        <f>Tablo1[[#This Row],[Sales]]-(Tablo1[[#This Row],[Quantity]]*Tablo1[[#This Row],[Unit_Cost]])</f>
        <v>18158</v>
      </c>
    </row>
    <row r="641" spans="1:12" x14ac:dyDescent="0.3">
      <c r="A641" s="2">
        <v>1640</v>
      </c>
      <c r="B641" s="7">
        <v>45615</v>
      </c>
      <c r="C641" s="8" t="s">
        <v>75</v>
      </c>
      <c r="D641" s="2" t="s">
        <v>41</v>
      </c>
      <c r="E641" s="2" t="s">
        <v>23</v>
      </c>
      <c r="F641" s="2" t="s">
        <v>36</v>
      </c>
      <c r="G641" s="2" t="s">
        <v>34</v>
      </c>
      <c r="H641" s="2">
        <v>6</v>
      </c>
      <c r="I641" s="4">
        <v>5036</v>
      </c>
      <c r="J641" s="4">
        <v>2791</v>
      </c>
      <c r="K641" s="4">
        <f>Tablo1[[#This Row],[Quantity]]*Tablo1[[#This Row],[Unit_Price]]</f>
        <v>30216</v>
      </c>
      <c r="L641" s="4">
        <f>Tablo1[[#This Row],[Sales]]-(Tablo1[[#This Row],[Quantity]]*Tablo1[[#This Row],[Unit_Cost]])</f>
        <v>13470</v>
      </c>
    </row>
    <row r="642" spans="1:12" x14ac:dyDescent="0.3">
      <c r="A642" s="2">
        <v>1641</v>
      </c>
      <c r="B642" s="7">
        <v>45356</v>
      </c>
      <c r="C642" s="8" t="s">
        <v>76</v>
      </c>
      <c r="D642" s="2" t="s">
        <v>43</v>
      </c>
      <c r="E642" s="2" t="s">
        <v>23</v>
      </c>
      <c r="F642" s="2" t="s">
        <v>37</v>
      </c>
      <c r="G642" s="2" t="s">
        <v>28</v>
      </c>
      <c r="H642" s="2">
        <v>5</v>
      </c>
      <c r="I642" s="4">
        <v>1348</v>
      </c>
      <c r="J642" s="4">
        <v>781</v>
      </c>
      <c r="K642" s="4">
        <f>Tablo1[[#This Row],[Quantity]]*Tablo1[[#This Row],[Unit_Price]]</f>
        <v>6740</v>
      </c>
      <c r="L642" s="4">
        <f>Tablo1[[#This Row],[Sales]]-(Tablo1[[#This Row],[Quantity]]*Tablo1[[#This Row],[Unit_Cost]])</f>
        <v>2835</v>
      </c>
    </row>
    <row r="643" spans="1:12" x14ac:dyDescent="0.3">
      <c r="A643" s="2">
        <v>1642</v>
      </c>
      <c r="B643" s="7">
        <v>45576</v>
      </c>
      <c r="C643" s="8" t="s">
        <v>75</v>
      </c>
      <c r="D643" s="2" t="s">
        <v>44</v>
      </c>
      <c r="E643" s="2" t="s">
        <v>30</v>
      </c>
      <c r="F643" s="2" t="s">
        <v>16</v>
      </c>
      <c r="G643" s="2" t="s">
        <v>17</v>
      </c>
      <c r="H643" s="2">
        <v>2</v>
      </c>
      <c r="I643" s="4">
        <v>5535</v>
      </c>
      <c r="J643" s="4">
        <v>3554</v>
      </c>
      <c r="K643" s="4">
        <f>Tablo1[[#This Row],[Quantity]]*Tablo1[[#This Row],[Unit_Price]]</f>
        <v>11070</v>
      </c>
      <c r="L643" s="4">
        <f>Tablo1[[#This Row],[Sales]]-(Tablo1[[#This Row],[Quantity]]*Tablo1[[#This Row],[Unit_Cost]])</f>
        <v>3962</v>
      </c>
    </row>
    <row r="644" spans="1:12" x14ac:dyDescent="0.3">
      <c r="A644" s="2">
        <v>1643</v>
      </c>
      <c r="B644" s="7">
        <v>45362</v>
      </c>
      <c r="C644" s="8" t="s">
        <v>74</v>
      </c>
      <c r="D644" s="2" t="s">
        <v>44</v>
      </c>
      <c r="E644" s="2" t="s">
        <v>38</v>
      </c>
      <c r="F644" s="2" t="s">
        <v>48</v>
      </c>
      <c r="G644" s="2" t="s">
        <v>34</v>
      </c>
      <c r="H644" s="2">
        <v>5</v>
      </c>
      <c r="I644" s="4">
        <v>6240</v>
      </c>
      <c r="J644" s="4">
        <v>3127</v>
      </c>
      <c r="K644" s="4">
        <f>Tablo1[[#This Row],[Quantity]]*Tablo1[[#This Row],[Unit_Price]]</f>
        <v>31200</v>
      </c>
      <c r="L644" s="4">
        <f>Tablo1[[#This Row],[Sales]]-(Tablo1[[#This Row],[Quantity]]*Tablo1[[#This Row],[Unit_Cost]])</f>
        <v>15565</v>
      </c>
    </row>
    <row r="645" spans="1:12" x14ac:dyDescent="0.3">
      <c r="A645" s="2">
        <v>1644</v>
      </c>
      <c r="B645" s="7">
        <v>45550</v>
      </c>
      <c r="C645" s="8" t="s">
        <v>73</v>
      </c>
      <c r="D645" s="2" t="s">
        <v>43</v>
      </c>
      <c r="E645" s="2" t="s">
        <v>26</v>
      </c>
      <c r="F645" s="2" t="s">
        <v>39</v>
      </c>
      <c r="G645" s="2" t="s">
        <v>28</v>
      </c>
      <c r="H645" s="2">
        <v>1</v>
      </c>
      <c r="I645" s="4">
        <v>3680</v>
      </c>
      <c r="J645" s="4">
        <v>2045</v>
      </c>
      <c r="K645" s="4">
        <f>Tablo1[[#This Row],[Quantity]]*Tablo1[[#This Row],[Unit_Price]]</f>
        <v>3680</v>
      </c>
      <c r="L645" s="4">
        <f>Tablo1[[#This Row],[Sales]]-(Tablo1[[#This Row],[Quantity]]*Tablo1[[#This Row],[Unit_Cost]])</f>
        <v>1635</v>
      </c>
    </row>
    <row r="646" spans="1:12" x14ac:dyDescent="0.3">
      <c r="A646" s="2">
        <v>1645</v>
      </c>
      <c r="B646" s="7">
        <v>45404</v>
      </c>
      <c r="C646" s="8" t="s">
        <v>73</v>
      </c>
      <c r="D646" s="2" t="s">
        <v>43</v>
      </c>
      <c r="E646" s="2" t="s">
        <v>38</v>
      </c>
      <c r="F646" s="2" t="s">
        <v>27</v>
      </c>
      <c r="G646" s="2" t="s">
        <v>28</v>
      </c>
      <c r="H646" s="2">
        <v>1</v>
      </c>
      <c r="I646" s="4">
        <v>2971</v>
      </c>
      <c r="J646" s="4">
        <v>2150</v>
      </c>
      <c r="K646" s="4">
        <f>Tablo1[[#This Row],[Quantity]]*Tablo1[[#This Row],[Unit_Price]]</f>
        <v>2971</v>
      </c>
      <c r="L646" s="4">
        <f>Tablo1[[#This Row],[Sales]]-(Tablo1[[#This Row],[Quantity]]*Tablo1[[#This Row],[Unit_Cost]])</f>
        <v>821</v>
      </c>
    </row>
    <row r="647" spans="1:12" x14ac:dyDescent="0.3">
      <c r="A647" s="2">
        <v>1646</v>
      </c>
      <c r="B647" s="7">
        <v>45588</v>
      </c>
      <c r="C647" s="8" t="s">
        <v>75</v>
      </c>
      <c r="D647" s="2" t="s">
        <v>43</v>
      </c>
      <c r="E647" s="2" t="s">
        <v>20</v>
      </c>
      <c r="F647" s="2" t="s">
        <v>50</v>
      </c>
      <c r="G647" s="2" t="s">
        <v>28</v>
      </c>
      <c r="H647" s="2">
        <v>8</v>
      </c>
      <c r="I647" s="4">
        <v>1152</v>
      </c>
      <c r="J647" s="4">
        <v>659</v>
      </c>
      <c r="K647" s="4">
        <f>Tablo1[[#This Row],[Quantity]]*Tablo1[[#This Row],[Unit_Price]]</f>
        <v>9216</v>
      </c>
      <c r="L647" s="4">
        <f>Tablo1[[#This Row],[Sales]]-(Tablo1[[#This Row],[Quantity]]*Tablo1[[#This Row],[Unit_Cost]])</f>
        <v>3944</v>
      </c>
    </row>
    <row r="648" spans="1:12" x14ac:dyDescent="0.3">
      <c r="A648" s="2">
        <v>1647</v>
      </c>
      <c r="B648" s="7">
        <v>45425</v>
      </c>
      <c r="C648" s="8" t="s">
        <v>74</v>
      </c>
      <c r="D648" s="2" t="s">
        <v>41</v>
      </c>
      <c r="E648" s="2" t="s">
        <v>30</v>
      </c>
      <c r="F648" s="2" t="s">
        <v>42</v>
      </c>
      <c r="G648" s="2" t="s">
        <v>12</v>
      </c>
      <c r="H648" s="2">
        <v>8</v>
      </c>
      <c r="I648" s="4">
        <v>9485</v>
      </c>
      <c r="J648" s="4">
        <v>5812</v>
      </c>
      <c r="K648" s="4">
        <f>Tablo1[[#This Row],[Quantity]]*Tablo1[[#This Row],[Unit_Price]]</f>
        <v>75880</v>
      </c>
      <c r="L648" s="4">
        <f>Tablo1[[#This Row],[Sales]]-(Tablo1[[#This Row],[Quantity]]*Tablo1[[#This Row],[Unit_Cost]])</f>
        <v>29384</v>
      </c>
    </row>
    <row r="649" spans="1:12" x14ac:dyDescent="0.3">
      <c r="A649" s="2">
        <v>1648</v>
      </c>
      <c r="B649" s="7">
        <v>45412</v>
      </c>
      <c r="C649" s="8" t="s">
        <v>76</v>
      </c>
      <c r="D649" s="2" t="s">
        <v>13</v>
      </c>
      <c r="E649" s="2" t="s">
        <v>20</v>
      </c>
      <c r="F649" s="2" t="s">
        <v>49</v>
      </c>
      <c r="G649" s="2" t="s">
        <v>12</v>
      </c>
      <c r="H649" s="2">
        <v>9</v>
      </c>
      <c r="I649" s="4">
        <v>16313</v>
      </c>
      <c r="J649" s="4">
        <v>12622</v>
      </c>
      <c r="K649" s="4">
        <f>Tablo1[[#This Row],[Quantity]]*Tablo1[[#This Row],[Unit_Price]]</f>
        <v>146817</v>
      </c>
      <c r="L649" s="4">
        <f>Tablo1[[#This Row],[Sales]]-(Tablo1[[#This Row],[Quantity]]*Tablo1[[#This Row],[Unit_Cost]])</f>
        <v>33219</v>
      </c>
    </row>
    <row r="650" spans="1:12" x14ac:dyDescent="0.3">
      <c r="A650" s="2">
        <v>1649</v>
      </c>
      <c r="B650" s="7">
        <v>45626</v>
      </c>
      <c r="C650" s="8" t="s">
        <v>75</v>
      </c>
      <c r="D650" s="2" t="s">
        <v>35</v>
      </c>
      <c r="E650" s="2" t="s">
        <v>30</v>
      </c>
      <c r="F650" s="2" t="s">
        <v>11</v>
      </c>
      <c r="G650" s="2" t="s">
        <v>12</v>
      </c>
      <c r="H650" s="2">
        <v>2</v>
      </c>
      <c r="I650" s="4">
        <v>22364</v>
      </c>
      <c r="J650" s="4">
        <v>15789</v>
      </c>
      <c r="K650" s="4">
        <f>Tablo1[[#This Row],[Quantity]]*Tablo1[[#This Row],[Unit_Price]]</f>
        <v>44728</v>
      </c>
      <c r="L650" s="4">
        <f>Tablo1[[#This Row],[Sales]]-(Tablo1[[#This Row],[Quantity]]*Tablo1[[#This Row],[Unit_Cost]])</f>
        <v>13150</v>
      </c>
    </row>
    <row r="651" spans="1:12" x14ac:dyDescent="0.3">
      <c r="A651" s="2">
        <v>1650</v>
      </c>
      <c r="B651" s="7">
        <v>45643</v>
      </c>
      <c r="C651" s="8" t="s">
        <v>73</v>
      </c>
      <c r="D651" s="2" t="s">
        <v>22</v>
      </c>
      <c r="E651" s="2" t="s">
        <v>23</v>
      </c>
      <c r="F651" s="2" t="s">
        <v>31</v>
      </c>
      <c r="G651" s="2" t="s">
        <v>17</v>
      </c>
      <c r="H651" s="2">
        <v>5</v>
      </c>
      <c r="I651" s="4">
        <v>9885</v>
      </c>
      <c r="J651" s="4">
        <v>7431</v>
      </c>
      <c r="K651" s="4">
        <f>Tablo1[[#This Row],[Quantity]]*Tablo1[[#This Row],[Unit_Price]]</f>
        <v>49425</v>
      </c>
      <c r="L651" s="4">
        <f>Tablo1[[#This Row],[Sales]]-(Tablo1[[#This Row],[Quantity]]*Tablo1[[#This Row],[Unit_Cost]])</f>
        <v>12270</v>
      </c>
    </row>
    <row r="652" spans="1:12" x14ac:dyDescent="0.3">
      <c r="A652" s="2">
        <v>1651</v>
      </c>
      <c r="B652" s="7">
        <v>45463</v>
      </c>
      <c r="C652" s="8" t="s">
        <v>76</v>
      </c>
      <c r="D652" s="2" t="s">
        <v>41</v>
      </c>
      <c r="E652" s="2" t="s">
        <v>30</v>
      </c>
      <c r="F652" s="2" t="s">
        <v>11</v>
      </c>
      <c r="G652" s="2" t="s">
        <v>12</v>
      </c>
      <c r="H652" s="2">
        <v>9</v>
      </c>
      <c r="I652" s="4">
        <v>11721</v>
      </c>
      <c r="J652" s="4">
        <v>6873</v>
      </c>
      <c r="K652" s="4">
        <f>Tablo1[[#This Row],[Quantity]]*Tablo1[[#This Row],[Unit_Price]]</f>
        <v>105489</v>
      </c>
      <c r="L652" s="4">
        <f>Tablo1[[#This Row],[Sales]]-(Tablo1[[#This Row],[Quantity]]*Tablo1[[#This Row],[Unit_Cost]])</f>
        <v>43632</v>
      </c>
    </row>
    <row r="653" spans="1:12" x14ac:dyDescent="0.3">
      <c r="A653" s="2">
        <v>1652</v>
      </c>
      <c r="B653" s="7">
        <v>45388</v>
      </c>
      <c r="C653" s="8" t="s">
        <v>74</v>
      </c>
      <c r="D653" s="2" t="s">
        <v>32</v>
      </c>
      <c r="E653" s="2" t="s">
        <v>30</v>
      </c>
      <c r="F653" s="2" t="s">
        <v>40</v>
      </c>
      <c r="G653" s="2" t="s">
        <v>25</v>
      </c>
      <c r="H653" s="2">
        <v>9</v>
      </c>
      <c r="I653" s="4">
        <v>3414</v>
      </c>
      <c r="J653" s="4">
        <v>2596</v>
      </c>
      <c r="K653" s="4">
        <f>Tablo1[[#This Row],[Quantity]]*Tablo1[[#This Row],[Unit_Price]]</f>
        <v>30726</v>
      </c>
      <c r="L653" s="4">
        <f>Tablo1[[#This Row],[Sales]]-(Tablo1[[#This Row],[Quantity]]*Tablo1[[#This Row],[Unit_Cost]])</f>
        <v>7362</v>
      </c>
    </row>
    <row r="654" spans="1:12" x14ac:dyDescent="0.3">
      <c r="A654" s="2">
        <v>1653</v>
      </c>
      <c r="B654" s="7">
        <v>45654</v>
      </c>
      <c r="C654" s="8" t="s">
        <v>77</v>
      </c>
      <c r="D654" s="2" t="s">
        <v>13</v>
      </c>
      <c r="E654" s="2" t="s">
        <v>20</v>
      </c>
      <c r="F654" s="2" t="s">
        <v>29</v>
      </c>
      <c r="G654" s="2" t="s">
        <v>25</v>
      </c>
      <c r="H654" s="2">
        <v>3</v>
      </c>
      <c r="I654" s="4">
        <v>6058</v>
      </c>
      <c r="J654" s="4">
        <v>3925</v>
      </c>
      <c r="K654" s="4">
        <f>Tablo1[[#This Row],[Quantity]]*Tablo1[[#This Row],[Unit_Price]]</f>
        <v>18174</v>
      </c>
      <c r="L654" s="4">
        <f>Tablo1[[#This Row],[Sales]]-(Tablo1[[#This Row],[Quantity]]*Tablo1[[#This Row],[Unit_Cost]])</f>
        <v>6399</v>
      </c>
    </row>
    <row r="655" spans="1:12" x14ac:dyDescent="0.3">
      <c r="A655" s="2">
        <v>1654</v>
      </c>
      <c r="B655" s="7">
        <v>45516</v>
      </c>
      <c r="C655" s="8" t="s">
        <v>75</v>
      </c>
      <c r="D655" s="2" t="s">
        <v>32</v>
      </c>
      <c r="E655" s="2" t="s">
        <v>20</v>
      </c>
      <c r="F655" s="2" t="s">
        <v>47</v>
      </c>
      <c r="G655" s="2" t="s">
        <v>25</v>
      </c>
      <c r="H655" s="2">
        <v>8</v>
      </c>
      <c r="I655" s="4">
        <v>6109</v>
      </c>
      <c r="J655" s="4">
        <v>3341</v>
      </c>
      <c r="K655" s="4">
        <f>Tablo1[[#This Row],[Quantity]]*Tablo1[[#This Row],[Unit_Price]]</f>
        <v>48872</v>
      </c>
      <c r="L655" s="4">
        <f>Tablo1[[#This Row],[Sales]]-(Tablo1[[#This Row],[Quantity]]*Tablo1[[#This Row],[Unit_Cost]])</f>
        <v>22144</v>
      </c>
    </row>
    <row r="656" spans="1:12" x14ac:dyDescent="0.3">
      <c r="A656" s="2">
        <v>1655</v>
      </c>
      <c r="B656" s="7">
        <v>45365</v>
      </c>
      <c r="C656" s="8" t="s">
        <v>76</v>
      </c>
      <c r="D656" s="2" t="s">
        <v>41</v>
      </c>
      <c r="E656" s="2" t="s">
        <v>38</v>
      </c>
      <c r="F656" s="2" t="s">
        <v>42</v>
      </c>
      <c r="G656" s="2" t="s">
        <v>12</v>
      </c>
      <c r="H656" s="2">
        <v>9</v>
      </c>
      <c r="I656" s="4">
        <v>24894</v>
      </c>
      <c r="J656" s="4">
        <v>14886</v>
      </c>
      <c r="K656" s="4">
        <f>Tablo1[[#This Row],[Quantity]]*Tablo1[[#This Row],[Unit_Price]]</f>
        <v>224046</v>
      </c>
      <c r="L656" s="4">
        <f>Tablo1[[#This Row],[Sales]]-(Tablo1[[#This Row],[Quantity]]*Tablo1[[#This Row],[Unit_Cost]])</f>
        <v>90072</v>
      </c>
    </row>
    <row r="657" spans="1:12" x14ac:dyDescent="0.3">
      <c r="A657" s="2">
        <v>1656</v>
      </c>
      <c r="B657" s="7">
        <v>45568</v>
      </c>
      <c r="C657" s="8" t="s">
        <v>75</v>
      </c>
      <c r="D657" s="2" t="s">
        <v>19</v>
      </c>
      <c r="E657" s="2" t="s">
        <v>30</v>
      </c>
      <c r="F657" s="2" t="s">
        <v>39</v>
      </c>
      <c r="G657" s="2" t="s">
        <v>28</v>
      </c>
      <c r="H657" s="2">
        <v>3</v>
      </c>
      <c r="I657" s="4">
        <v>3023</v>
      </c>
      <c r="J657" s="4">
        <v>2204</v>
      </c>
      <c r="K657" s="4">
        <f>Tablo1[[#This Row],[Quantity]]*Tablo1[[#This Row],[Unit_Price]]</f>
        <v>9069</v>
      </c>
      <c r="L657" s="4">
        <f>Tablo1[[#This Row],[Sales]]-(Tablo1[[#This Row],[Quantity]]*Tablo1[[#This Row],[Unit_Cost]])</f>
        <v>2457</v>
      </c>
    </row>
    <row r="658" spans="1:12" x14ac:dyDescent="0.3">
      <c r="A658" s="2">
        <v>1657</v>
      </c>
      <c r="B658" s="7">
        <v>45524</v>
      </c>
      <c r="C658" s="8" t="s">
        <v>74</v>
      </c>
      <c r="D658" s="2" t="s">
        <v>32</v>
      </c>
      <c r="E658" s="2" t="s">
        <v>26</v>
      </c>
      <c r="F658" s="2" t="s">
        <v>46</v>
      </c>
      <c r="G658" s="2" t="s">
        <v>17</v>
      </c>
      <c r="H658" s="2">
        <v>6</v>
      </c>
      <c r="I658" s="4">
        <v>6492</v>
      </c>
      <c r="J658" s="4">
        <v>4576</v>
      </c>
      <c r="K658" s="4">
        <f>Tablo1[[#This Row],[Quantity]]*Tablo1[[#This Row],[Unit_Price]]</f>
        <v>38952</v>
      </c>
      <c r="L658" s="4">
        <f>Tablo1[[#This Row],[Sales]]-(Tablo1[[#This Row],[Quantity]]*Tablo1[[#This Row],[Unit_Cost]])</f>
        <v>11496</v>
      </c>
    </row>
    <row r="659" spans="1:12" x14ac:dyDescent="0.3">
      <c r="A659" s="2">
        <v>1658</v>
      </c>
      <c r="B659" s="7">
        <v>45371</v>
      </c>
      <c r="C659" s="8" t="s">
        <v>73</v>
      </c>
      <c r="D659" s="2" t="s">
        <v>19</v>
      </c>
      <c r="E659" s="2" t="s">
        <v>30</v>
      </c>
      <c r="F659" s="2" t="s">
        <v>27</v>
      </c>
      <c r="G659" s="2" t="s">
        <v>28</v>
      </c>
      <c r="H659" s="2">
        <v>2</v>
      </c>
      <c r="I659" s="4">
        <v>2912</v>
      </c>
      <c r="J659" s="4">
        <v>2031</v>
      </c>
      <c r="K659" s="4">
        <f>Tablo1[[#This Row],[Quantity]]*Tablo1[[#This Row],[Unit_Price]]</f>
        <v>5824</v>
      </c>
      <c r="L659" s="4">
        <f>Tablo1[[#This Row],[Sales]]-(Tablo1[[#This Row],[Quantity]]*Tablo1[[#This Row],[Unit_Cost]])</f>
        <v>1762</v>
      </c>
    </row>
    <row r="660" spans="1:12" x14ac:dyDescent="0.3">
      <c r="A660" s="2">
        <v>1659</v>
      </c>
      <c r="B660" s="7">
        <v>45579</v>
      </c>
      <c r="C660" s="8" t="s">
        <v>73</v>
      </c>
      <c r="D660" s="2" t="s">
        <v>22</v>
      </c>
      <c r="E660" s="2" t="s">
        <v>20</v>
      </c>
      <c r="F660" s="2" t="s">
        <v>14</v>
      </c>
      <c r="G660" s="2" t="s">
        <v>12</v>
      </c>
      <c r="H660" s="2">
        <v>1</v>
      </c>
      <c r="I660" s="4">
        <v>14891</v>
      </c>
      <c r="J660" s="4">
        <v>11309</v>
      </c>
      <c r="K660" s="4">
        <f>Tablo1[[#This Row],[Quantity]]*Tablo1[[#This Row],[Unit_Price]]</f>
        <v>14891</v>
      </c>
      <c r="L660" s="4">
        <f>Tablo1[[#This Row],[Sales]]-(Tablo1[[#This Row],[Quantity]]*Tablo1[[#This Row],[Unit_Cost]])</f>
        <v>3582</v>
      </c>
    </row>
    <row r="661" spans="1:12" x14ac:dyDescent="0.3">
      <c r="A661" s="2">
        <v>1660</v>
      </c>
      <c r="B661" s="7">
        <v>45343</v>
      </c>
      <c r="C661" s="8" t="s">
        <v>75</v>
      </c>
      <c r="D661" s="2" t="s">
        <v>32</v>
      </c>
      <c r="E661" s="2" t="s">
        <v>26</v>
      </c>
      <c r="F661" s="2" t="s">
        <v>47</v>
      </c>
      <c r="G661" s="2" t="s">
        <v>25</v>
      </c>
      <c r="H661" s="2">
        <v>6</v>
      </c>
      <c r="I661" s="4">
        <v>1180</v>
      </c>
      <c r="J661" s="4">
        <v>712</v>
      </c>
      <c r="K661" s="4">
        <f>Tablo1[[#This Row],[Quantity]]*Tablo1[[#This Row],[Unit_Price]]</f>
        <v>7080</v>
      </c>
      <c r="L661" s="4">
        <f>Tablo1[[#This Row],[Sales]]-(Tablo1[[#This Row],[Quantity]]*Tablo1[[#This Row],[Unit_Cost]])</f>
        <v>2808</v>
      </c>
    </row>
    <row r="662" spans="1:12" x14ac:dyDescent="0.3">
      <c r="A662" s="2">
        <v>1661</v>
      </c>
      <c r="B662" s="7">
        <v>45459</v>
      </c>
      <c r="C662" s="8" t="s">
        <v>74</v>
      </c>
      <c r="D662" s="2" t="s">
        <v>32</v>
      </c>
      <c r="E662" s="2" t="s">
        <v>20</v>
      </c>
      <c r="F662" s="2" t="s">
        <v>24</v>
      </c>
      <c r="G662" s="2" t="s">
        <v>25</v>
      </c>
      <c r="H662" s="2">
        <v>9</v>
      </c>
      <c r="I662" s="4">
        <v>5624</v>
      </c>
      <c r="J662" s="4">
        <v>3560</v>
      </c>
      <c r="K662" s="4">
        <f>Tablo1[[#This Row],[Quantity]]*Tablo1[[#This Row],[Unit_Price]]</f>
        <v>50616</v>
      </c>
      <c r="L662" s="4">
        <f>Tablo1[[#This Row],[Sales]]-(Tablo1[[#This Row],[Quantity]]*Tablo1[[#This Row],[Unit_Cost]])</f>
        <v>18576</v>
      </c>
    </row>
    <row r="663" spans="1:12" x14ac:dyDescent="0.3">
      <c r="A663" s="2">
        <v>1662</v>
      </c>
      <c r="B663" s="7">
        <v>45492</v>
      </c>
      <c r="C663" s="8" t="s">
        <v>76</v>
      </c>
      <c r="D663" s="2" t="s">
        <v>41</v>
      </c>
      <c r="E663" s="2" t="s">
        <v>38</v>
      </c>
      <c r="F663" s="2" t="s">
        <v>14</v>
      </c>
      <c r="G663" s="2" t="s">
        <v>12</v>
      </c>
      <c r="H663" s="2">
        <v>4</v>
      </c>
      <c r="I663" s="4">
        <v>15010</v>
      </c>
      <c r="J663" s="4">
        <v>11441</v>
      </c>
      <c r="K663" s="4">
        <f>Tablo1[[#This Row],[Quantity]]*Tablo1[[#This Row],[Unit_Price]]</f>
        <v>60040</v>
      </c>
      <c r="L663" s="4">
        <f>Tablo1[[#This Row],[Sales]]-(Tablo1[[#This Row],[Quantity]]*Tablo1[[#This Row],[Unit_Cost]])</f>
        <v>14276</v>
      </c>
    </row>
    <row r="664" spans="1:12" x14ac:dyDescent="0.3">
      <c r="A664" s="2">
        <v>1663</v>
      </c>
      <c r="B664" s="7">
        <v>45338</v>
      </c>
      <c r="C664" s="8" t="s">
        <v>75</v>
      </c>
      <c r="D664" s="2" t="s">
        <v>19</v>
      </c>
      <c r="E664" s="2" t="s">
        <v>20</v>
      </c>
      <c r="F664" s="2" t="s">
        <v>16</v>
      </c>
      <c r="G664" s="2" t="s">
        <v>17</v>
      </c>
      <c r="H664" s="2">
        <v>8</v>
      </c>
      <c r="I664" s="4">
        <v>7624</v>
      </c>
      <c r="J664" s="4">
        <v>3954</v>
      </c>
      <c r="K664" s="4">
        <f>Tablo1[[#This Row],[Quantity]]*Tablo1[[#This Row],[Unit_Price]]</f>
        <v>60992</v>
      </c>
      <c r="L664" s="4">
        <f>Tablo1[[#This Row],[Sales]]-(Tablo1[[#This Row],[Quantity]]*Tablo1[[#This Row],[Unit_Cost]])</f>
        <v>29360</v>
      </c>
    </row>
    <row r="665" spans="1:12" x14ac:dyDescent="0.3">
      <c r="A665" s="2">
        <v>1664</v>
      </c>
      <c r="B665" s="7">
        <v>45372</v>
      </c>
      <c r="C665" s="8" t="s">
        <v>73</v>
      </c>
      <c r="D665" s="2" t="s">
        <v>35</v>
      </c>
      <c r="E665" s="2" t="s">
        <v>26</v>
      </c>
      <c r="F665" s="2" t="s">
        <v>40</v>
      </c>
      <c r="G665" s="2" t="s">
        <v>25</v>
      </c>
      <c r="H665" s="2">
        <v>10</v>
      </c>
      <c r="I665" s="4">
        <v>6178</v>
      </c>
      <c r="J665" s="4">
        <v>4597</v>
      </c>
      <c r="K665" s="4">
        <f>Tablo1[[#This Row],[Quantity]]*Tablo1[[#This Row],[Unit_Price]]</f>
        <v>61780</v>
      </c>
      <c r="L665" s="4">
        <f>Tablo1[[#This Row],[Sales]]-(Tablo1[[#This Row],[Quantity]]*Tablo1[[#This Row],[Unit_Cost]])</f>
        <v>15810</v>
      </c>
    </row>
    <row r="666" spans="1:12" x14ac:dyDescent="0.3">
      <c r="A666" s="2">
        <v>1665</v>
      </c>
      <c r="B666" s="7">
        <v>45443</v>
      </c>
      <c r="C666" s="8" t="s">
        <v>76</v>
      </c>
      <c r="D666" s="2" t="s">
        <v>35</v>
      </c>
      <c r="E666" s="2" t="s">
        <v>38</v>
      </c>
      <c r="F666" s="2" t="s">
        <v>49</v>
      </c>
      <c r="G666" s="2" t="s">
        <v>12</v>
      </c>
      <c r="H666" s="2">
        <v>1</v>
      </c>
      <c r="I666" s="4">
        <v>10430</v>
      </c>
      <c r="J666" s="4">
        <v>6442</v>
      </c>
      <c r="K666" s="4">
        <f>Tablo1[[#This Row],[Quantity]]*Tablo1[[#This Row],[Unit_Price]]</f>
        <v>10430</v>
      </c>
      <c r="L666" s="4">
        <f>Tablo1[[#This Row],[Sales]]-(Tablo1[[#This Row],[Quantity]]*Tablo1[[#This Row],[Unit_Cost]])</f>
        <v>3988</v>
      </c>
    </row>
    <row r="667" spans="1:12" x14ac:dyDescent="0.3">
      <c r="A667" s="2">
        <v>1666</v>
      </c>
      <c r="B667" s="7">
        <v>45390</v>
      </c>
      <c r="C667" s="8" t="s">
        <v>74</v>
      </c>
      <c r="D667" s="2" t="s">
        <v>43</v>
      </c>
      <c r="E667" s="2" t="s">
        <v>26</v>
      </c>
      <c r="F667" s="2" t="s">
        <v>45</v>
      </c>
      <c r="G667" s="2" t="s">
        <v>34</v>
      </c>
      <c r="H667" s="2">
        <v>1</v>
      </c>
      <c r="I667" s="4">
        <v>1434</v>
      </c>
      <c r="J667" s="4">
        <v>1064</v>
      </c>
      <c r="K667" s="4">
        <f>Tablo1[[#This Row],[Quantity]]*Tablo1[[#This Row],[Unit_Price]]</f>
        <v>1434</v>
      </c>
      <c r="L667" s="4">
        <f>Tablo1[[#This Row],[Sales]]-(Tablo1[[#This Row],[Quantity]]*Tablo1[[#This Row],[Unit_Cost]])</f>
        <v>370</v>
      </c>
    </row>
    <row r="668" spans="1:12" x14ac:dyDescent="0.3">
      <c r="A668" s="2">
        <v>1667</v>
      </c>
      <c r="B668" s="7">
        <v>45465</v>
      </c>
      <c r="C668" s="8" t="s">
        <v>77</v>
      </c>
      <c r="D668" s="2" t="s">
        <v>35</v>
      </c>
      <c r="E668" s="2" t="s">
        <v>23</v>
      </c>
      <c r="F668" s="2" t="s">
        <v>42</v>
      </c>
      <c r="G668" s="2" t="s">
        <v>12</v>
      </c>
      <c r="H668" s="2">
        <v>7</v>
      </c>
      <c r="I668" s="4">
        <v>14297</v>
      </c>
      <c r="J668" s="4">
        <v>11031</v>
      </c>
      <c r="K668" s="4">
        <f>Tablo1[[#This Row],[Quantity]]*Tablo1[[#This Row],[Unit_Price]]</f>
        <v>100079</v>
      </c>
      <c r="L668" s="4">
        <f>Tablo1[[#This Row],[Sales]]-(Tablo1[[#This Row],[Quantity]]*Tablo1[[#This Row],[Unit_Cost]])</f>
        <v>22862</v>
      </c>
    </row>
    <row r="669" spans="1:12" x14ac:dyDescent="0.3">
      <c r="A669" s="2">
        <v>1668</v>
      </c>
      <c r="B669" s="7">
        <v>45572</v>
      </c>
      <c r="C669" s="8" t="s">
        <v>75</v>
      </c>
      <c r="D669" s="2" t="s">
        <v>44</v>
      </c>
      <c r="E669" s="2" t="s">
        <v>30</v>
      </c>
      <c r="F669" s="2" t="s">
        <v>27</v>
      </c>
      <c r="G669" s="2" t="s">
        <v>28</v>
      </c>
      <c r="H669" s="2">
        <v>5</v>
      </c>
      <c r="I669" s="4">
        <v>1473</v>
      </c>
      <c r="J669" s="4">
        <v>1177</v>
      </c>
      <c r="K669" s="4">
        <f>Tablo1[[#This Row],[Quantity]]*Tablo1[[#This Row],[Unit_Price]]</f>
        <v>7365</v>
      </c>
      <c r="L669" s="4">
        <f>Tablo1[[#This Row],[Sales]]-(Tablo1[[#This Row],[Quantity]]*Tablo1[[#This Row],[Unit_Cost]])</f>
        <v>1480</v>
      </c>
    </row>
    <row r="670" spans="1:12" x14ac:dyDescent="0.3">
      <c r="A670" s="2">
        <v>1669</v>
      </c>
      <c r="B670" s="7">
        <v>45447</v>
      </c>
      <c r="C670" s="8" t="s">
        <v>76</v>
      </c>
      <c r="D670" s="2" t="s">
        <v>22</v>
      </c>
      <c r="E670" s="2" t="s">
        <v>38</v>
      </c>
      <c r="F670" s="2" t="s">
        <v>14</v>
      </c>
      <c r="G670" s="2" t="s">
        <v>12</v>
      </c>
      <c r="H670" s="2">
        <v>6</v>
      </c>
      <c r="I670" s="4">
        <v>14894</v>
      </c>
      <c r="J670" s="4">
        <v>10656</v>
      </c>
      <c r="K670" s="4">
        <f>Tablo1[[#This Row],[Quantity]]*Tablo1[[#This Row],[Unit_Price]]</f>
        <v>89364</v>
      </c>
      <c r="L670" s="4">
        <f>Tablo1[[#This Row],[Sales]]-(Tablo1[[#This Row],[Quantity]]*Tablo1[[#This Row],[Unit_Cost]])</f>
        <v>25428</v>
      </c>
    </row>
    <row r="671" spans="1:12" x14ac:dyDescent="0.3">
      <c r="A671" s="2">
        <v>1670</v>
      </c>
      <c r="B671" s="7">
        <v>45296</v>
      </c>
      <c r="C671" s="8" t="s">
        <v>75</v>
      </c>
      <c r="D671" s="2" t="s">
        <v>10</v>
      </c>
      <c r="E671" s="2" t="s">
        <v>23</v>
      </c>
      <c r="F671" s="2" t="s">
        <v>48</v>
      </c>
      <c r="G671" s="2" t="s">
        <v>34</v>
      </c>
      <c r="H671" s="2">
        <v>4</v>
      </c>
      <c r="I671" s="4">
        <v>1503</v>
      </c>
      <c r="J671" s="4">
        <v>953</v>
      </c>
      <c r="K671" s="4">
        <f>Tablo1[[#This Row],[Quantity]]*Tablo1[[#This Row],[Unit_Price]]</f>
        <v>6012</v>
      </c>
      <c r="L671" s="4">
        <f>Tablo1[[#This Row],[Sales]]-(Tablo1[[#This Row],[Quantity]]*Tablo1[[#This Row],[Unit_Cost]])</f>
        <v>2200</v>
      </c>
    </row>
    <row r="672" spans="1:12" x14ac:dyDescent="0.3">
      <c r="A672" s="2">
        <v>1671</v>
      </c>
      <c r="B672" s="7">
        <v>45600</v>
      </c>
      <c r="C672" s="8" t="s">
        <v>74</v>
      </c>
      <c r="D672" s="2" t="s">
        <v>43</v>
      </c>
      <c r="E672" s="2" t="s">
        <v>20</v>
      </c>
      <c r="F672" s="2" t="s">
        <v>50</v>
      </c>
      <c r="G672" s="2" t="s">
        <v>28</v>
      </c>
      <c r="H672" s="2">
        <v>4</v>
      </c>
      <c r="I672" s="4">
        <v>327</v>
      </c>
      <c r="J672" s="4">
        <v>244</v>
      </c>
      <c r="K672" s="4">
        <f>Tablo1[[#This Row],[Quantity]]*Tablo1[[#This Row],[Unit_Price]]</f>
        <v>1308</v>
      </c>
      <c r="L672" s="4">
        <f>Tablo1[[#This Row],[Sales]]-(Tablo1[[#This Row],[Quantity]]*Tablo1[[#This Row],[Unit_Cost]])</f>
        <v>332</v>
      </c>
    </row>
    <row r="673" spans="1:12" x14ac:dyDescent="0.3">
      <c r="A673" s="2">
        <v>1672</v>
      </c>
      <c r="B673" s="7">
        <v>45324</v>
      </c>
      <c r="C673" s="8" t="s">
        <v>73</v>
      </c>
      <c r="D673" s="2" t="s">
        <v>19</v>
      </c>
      <c r="E673" s="2" t="s">
        <v>26</v>
      </c>
      <c r="F673" s="2" t="s">
        <v>36</v>
      </c>
      <c r="G673" s="2" t="s">
        <v>34</v>
      </c>
      <c r="H673" s="2">
        <v>10</v>
      </c>
      <c r="I673" s="4">
        <v>2270</v>
      </c>
      <c r="J673" s="4">
        <v>1300</v>
      </c>
      <c r="K673" s="4">
        <f>Tablo1[[#This Row],[Quantity]]*Tablo1[[#This Row],[Unit_Price]]</f>
        <v>22700</v>
      </c>
      <c r="L673" s="4">
        <f>Tablo1[[#This Row],[Sales]]-(Tablo1[[#This Row],[Quantity]]*Tablo1[[#This Row],[Unit_Cost]])</f>
        <v>9700</v>
      </c>
    </row>
    <row r="674" spans="1:12" x14ac:dyDescent="0.3">
      <c r="A674" s="2">
        <v>1673</v>
      </c>
      <c r="B674" s="7">
        <v>45481</v>
      </c>
      <c r="C674" s="8" t="s">
        <v>73</v>
      </c>
      <c r="D674" s="2" t="s">
        <v>10</v>
      </c>
      <c r="E674" s="2" t="s">
        <v>26</v>
      </c>
      <c r="F674" s="2" t="s">
        <v>47</v>
      </c>
      <c r="G674" s="2" t="s">
        <v>25</v>
      </c>
      <c r="H674" s="2">
        <v>4</v>
      </c>
      <c r="I674" s="4">
        <v>4127</v>
      </c>
      <c r="J674" s="4">
        <v>2308</v>
      </c>
      <c r="K674" s="4">
        <f>Tablo1[[#This Row],[Quantity]]*Tablo1[[#This Row],[Unit_Price]]</f>
        <v>16508</v>
      </c>
      <c r="L674" s="4">
        <f>Tablo1[[#This Row],[Sales]]-(Tablo1[[#This Row],[Quantity]]*Tablo1[[#This Row],[Unit_Cost]])</f>
        <v>7276</v>
      </c>
    </row>
    <row r="675" spans="1:12" x14ac:dyDescent="0.3">
      <c r="A675" s="2">
        <v>1674</v>
      </c>
      <c r="B675" s="7">
        <v>45407</v>
      </c>
      <c r="C675" s="8" t="s">
        <v>75</v>
      </c>
      <c r="D675" s="2" t="s">
        <v>41</v>
      </c>
      <c r="E675" s="2" t="s">
        <v>23</v>
      </c>
      <c r="F675" s="2" t="s">
        <v>14</v>
      </c>
      <c r="G675" s="2" t="s">
        <v>12</v>
      </c>
      <c r="H675" s="2">
        <v>6</v>
      </c>
      <c r="I675" s="4">
        <v>7457</v>
      </c>
      <c r="J675" s="4">
        <v>4904</v>
      </c>
      <c r="K675" s="4">
        <f>Tablo1[[#This Row],[Quantity]]*Tablo1[[#This Row],[Unit_Price]]</f>
        <v>44742</v>
      </c>
      <c r="L675" s="4">
        <f>Tablo1[[#This Row],[Sales]]-(Tablo1[[#This Row],[Quantity]]*Tablo1[[#This Row],[Unit_Cost]])</f>
        <v>15318</v>
      </c>
    </row>
    <row r="676" spans="1:12" x14ac:dyDescent="0.3">
      <c r="A676" s="2">
        <v>1675</v>
      </c>
      <c r="B676" s="7">
        <v>45393</v>
      </c>
      <c r="C676" s="8" t="s">
        <v>74</v>
      </c>
      <c r="D676" s="2" t="s">
        <v>44</v>
      </c>
      <c r="E676" s="2" t="s">
        <v>30</v>
      </c>
      <c r="F676" s="2" t="s">
        <v>24</v>
      </c>
      <c r="G676" s="2" t="s">
        <v>25</v>
      </c>
      <c r="H676" s="2">
        <v>2</v>
      </c>
      <c r="I676" s="4">
        <v>7135</v>
      </c>
      <c r="J676" s="4">
        <v>3992</v>
      </c>
      <c r="K676" s="4">
        <f>Tablo1[[#This Row],[Quantity]]*Tablo1[[#This Row],[Unit_Price]]</f>
        <v>14270</v>
      </c>
      <c r="L676" s="4">
        <f>Tablo1[[#This Row],[Sales]]-(Tablo1[[#This Row],[Quantity]]*Tablo1[[#This Row],[Unit_Cost]])</f>
        <v>6286</v>
      </c>
    </row>
    <row r="677" spans="1:12" x14ac:dyDescent="0.3">
      <c r="A677" s="2">
        <v>1676</v>
      </c>
      <c r="B677" s="7">
        <v>45475</v>
      </c>
      <c r="C677" s="8" t="s">
        <v>76</v>
      </c>
      <c r="D677" s="2" t="s">
        <v>44</v>
      </c>
      <c r="E677" s="2" t="s">
        <v>20</v>
      </c>
      <c r="F677" s="2" t="s">
        <v>33</v>
      </c>
      <c r="G677" s="2" t="s">
        <v>34</v>
      </c>
      <c r="H677" s="2">
        <v>5</v>
      </c>
      <c r="I677" s="4">
        <v>2356</v>
      </c>
      <c r="J677" s="4">
        <v>1567</v>
      </c>
      <c r="K677" s="4">
        <f>Tablo1[[#This Row],[Quantity]]*Tablo1[[#This Row],[Unit_Price]]</f>
        <v>11780</v>
      </c>
      <c r="L677" s="4">
        <f>Tablo1[[#This Row],[Sales]]-(Tablo1[[#This Row],[Quantity]]*Tablo1[[#This Row],[Unit_Cost]])</f>
        <v>3945</v>
      </c>
    </row>
    <row r="678" spans="1:12" x14ac:dyDescent="0.3">
      <c r="A678" s="2">
        <v>1677</v>
      </c>
      <c r="B678" s="7">
        <v>45330</v>
      </c>
      <c r="C678" s="8" t="s">
        <v>75</v>
      </c>
      <c r="D678" s="2" t="s">
        <v>13</v>
      </c>
      <c r="E678" s="2" t="s">
        <v>38</v>
      </c>
      <c r="F678" s="2" t="s">
        <v>40</v>
      </c>
      <c r="G678" s="2" t="s">
        <v>25</v>
      </c>
      <c r="H678" s="2">
        <v>9</v>
      </c>
      <c r="I678" s="4">
        <v>7126</v>
      </c>
      <c r="J678" s="4">
        <v>3705</v>
      </c>
      <c r="K678" s="4">
        <f>Tablo1[[#This Row],[Quantity]]*Tablo1[[#This Row],[Unit_Price]]</f>
        <v>64134</v>
      </c>
      <c r="L678" s="4">
        <f>Tablo1[[#This Row],[Sales]]-(Tablo1[[#This Row],[Quantity]]*Tablo1[[#This Row],[Unit_Cost]])</f>
        <v>30789</v>
      </c>
    </row>
    <row r="679" spans="1:12" x14ac:dyDescent="0.3">
      <c r="A679" s="2">
        <v>1678</v>
      </c>
      <c r="B679" s="7">
        <v>45470</v>
      </c>
      <c r="C679" s="8" t="s">
        <v>73</v>
      </c>
      <c r="D679" s="2" t="s">
        <v>22</v>
      </c>
      <c r="E679" s="2" t="s">
        <v>30</v>
      </c>
      <c r="F679" s="2" t="s">
        <v>50</v>
      </c>
      <c r="G679" s="2" t="s">
        <v>28</v>
      </c>
      <c r="H679" s="2">
        <v>2</v>
      </c>
      <c r="I679" s="4">
        <v>685</v>
      </c>
      <c r="J679" s="4">
        <v>532</v>
      </c>
      <c r="K679" s="4">
        <f>Tablo1[[#This Row],[Quantity]]*Tablo1[[#This Row],[Unit_Price]]</f>
        <v>1370</v>
      </c>
      <c r="L679" s="4">
        <f>Tablo1[[#This Row],[Sales]]-(Tablo1[[#This Row],[Quantity]]*Tablo1[[#This Row],[Unit_Cost]])</f>
        <v>306</v>
      </c>
    </row>
    <row r="680" spans="1:12" x14ac:dyDescent="0.3">
      <c r="A680" s="2">
        <v>1679</v>
      </c>
      <c r="B680" s="7">
        <v>45395</v>
      </c>
      <c r="C680" s="8" t="s">
        <v>76</v>
      </c>
      <c r="D680" s="2" t="s">
        <v>35</v>
      </c>
      <c r="E680" s="2" t="s">
        <v>38</v>
      </c>
      <c r="F680" s="2" t="s">
        <v>49</v>
      </c>
      <c r="G680" s="2" t="s">
        <v>12</v>
      </c>
      <c r="H680" s="2">
        <v>2</v>
      </c>
      <c r="I680" s="4">
        <v>17431</v>
      </c>
      <c r="J680" s="4">
        <v>10152</v>
      </c>
      <c r="K680" s="4">
        <f>Tablo1[[#This Row],[Quantity]]*Tablo1[[#This Row],[Unit_Price]]</f>
        <v>34862</v>
      </c>
      <c r="L680" s="4">
        <f>Tablo1[[#This Row],[Sales]]-(Tablo1[[#This Row],[Quantity]]*Tablo1[[#This Row],[Unit_Cost]])</f>
        <v>14558</v>
      </c>
    </row>
    <row r="681" spans="1:12" x14ac:dyDescent="0.3">
      <c r="A681" s="2">
        <v>1680</v>
      </c>
      <c r="B681" s="7">
        <v>45644</v>
      </c>
      <c r="C681" s="8" t="s">
        <v>74</v>
      </c>
      <c r="D681" s="2" t="s">
        <v>22</v>
      </c>
      <c r="E681" s="2" t="s">
        <v>23</v>
      </c>
      <c r="F681" s="2" t="s">
        <v>14</v>
      </c>
      <c r="G681" s="2" t="s">
        <v>12</v>
      </c>
      <c r="H681" s="2">
        <v>10</v>
      </c>
      <c r="I681" s="4">
        <v>14171</v>
      </c>
      <c r="J681" s="4">
        <v>7960</v>
      </c>
      <c r="K681" s="4">
        <f>Tablo1[[#This Row],[Quantity]]*Tablo1[[#This Row],[Unit_Price]]</f>
        <v>141710</v>
      </c>
      <c r="L681" s="4">
        <f>Tablo1[[#This Row],[Sales]]-(Tablo1[[#This Row],[Quantity]]*Tablo1[[#This Row],[Unit_Cost]])</f>
        <v>62110</v>
      </c>
    </row>
    <row r="682" spans="1:12" x14ac:dyDescent="0.3">
      <c r="A682" s="2">
        <v>1681</v>
      </c>
      <c r="B682" s="7">
        <v>45585</v>
      </c>
      <c r="C682" s="8" t="s">
        <v>77</v>
      </c>
      <c r="D682" s="2" t="s">
        <v>43</v>
      </c>
      <c r="E682" s="2" t="s">
        <v>26</v>
      </c>
      <c r="F682" s="2" t="s">
        <v>21</v>
      </c>
      <c r="G682" s="2" t="s">
        <v>17</v>
      </c>
      <c r="H682" s="2">
        <v>2</v>
      </c>
      <c r="I682" s="4">
        <v>2842</v>
      </c>
      <c r="J682" s="4">
        <v>1939</v>
      </c>
      <c r="K682" s="4">
        <f>Tablo1[[#This Row],[Quantity]]*Tablo1[[#This Row],[Unit_Price]]</f>
        <v>5684</v>
      </c>
      <c r="L682" s="4">
        <f>Tablo1[[#This Row],[Sales]]-(Tablo1[[#This Row],[Quantity]]*Tablo1[[#This Row],[Unit_Cost]])</f>
        <v>1806</v>
      </c>
    </row>
    <row r="683" spans="1:12" x14ac:dyDescent="0.3">
      <c r="A683" s="2">
        <v>1682</v>
      </c>
      <c r="B683" s="7">
        <v>45305</v>
      </c>
      <c r="C683" s="8" t="s">
        <v>75</v>
      </c>
      <c r="D683" s="2" t="s">
        <v>10</v>
      </c>
      <c r="E683" s="2" t="s">
        <v>26</v>
      </c>
      <c r="F683" s="2" t="s">
        <v>39</v>
      </c>
      <c r="G683" s="2" t="s">
        <v>28</v>
      </c>
      <c r="H683" s="2">
        <v>8</v>
      </c>
      <c r="I683" s="4">
        <v>3537</v>
      </c>
      <c r="J683" s="4">
        <v>2088</v>
      </c>
      <c r="K683" s="4">
        <f>Tablo1[[#This Row],[Quantity]]*Tablo1[[#This Row],[Unit_Price]]</f>
        <v>28296</v>
      </c>
      <c r="L683" s="4">
        <f>Tablo1[[#This Row],[Sales]]-(Tablo1[[#This Row],[Quantity]]*Tablo1[[#This Row],[Unit_Cost]])</f>
        <v>11592</v>
      </c>
    </row>
    <row r="684" spans="1:12" x14ac:dyDescent="0.3">
      <c r="A684" s="2">
        <v>1683</v>
      </c>
      <c r="B684" s="7">
        <v>45604</v>
      </c>
      <c r="C684" s="8" t="s">
        <v>76</v>
      </c>
      <c r="D684" s="2" t="s">
        <v>22</v>
      </c>
      <c r="E684" s="2" t="s">
        <v>26</v>
      </c>
      <c r="F684" s="2" t="s">
        <v>11</v>
      </c>
      <c r="G684" s="2" t="s">
        <v>12</v>
      </c>
      <c r="H684" s="2">
        <v>6</v>
      </c>
      <c r="I684" s="4">
        <v>17804</v>
      </c>
      <c r="J684" s="4">
        <v>10957</v>
      </c>
      <c r="K684" s="4">
        <f>Tablo1[[#This Row],[Quantity]]*Tablo1[[#This Row],[Unit_Price]]</f>
        <v>106824</v>
      </c>
      <c r="L684" s="4">
        <f>Tablo1[[#This Row],[Sales]]-(Tablo1[[#This Row],[Quantity]]*Tablo1[[#This Row],[Unit_Cost]])</f>
        <v>41082</v>
      </c>
    </row>
    <row r="685" spans="1:12" x14ac:dyDescent="0.3">
      <c r="A685" s="2">
        <v>1684</v>
      </c>
      <c r="B685" s="7">
        <v>45439</v>
      </c>
      <c r="C685" s="8" t="s">
        <v>75</v>
      </c>
      <c r="D685" s="2" t="s">
        <v>22</v>
      </c>
      <c r="E685" s="2" t="s">
        <v>30</v>
      </c>
      <c r="F685" s="2" t="s">
        <v>29</v>
      </c>
      <c r="G685" s="2" t="s">
        <v>25</v>
      </c>
      <c r="H685" s="2">
        <v>10</v>
      </c>
      <c r="I685" s="4">
        <v>5494</v>
      </c>
      <c r="J685" s="4">
        <v>3487</v>
      </c>
      <c r="K685" s="4">
        <f>Tablo1[[#This Row],[Quantity]]*Tablo1[[#This Row],[Unit_Price]]</f>
        <v>54940</v>
      </c>
      <c r="L685" s="4">
        <f>Tablo1[[#This Row],[Sales]]-(Tablo1[[#This Row],[Quantity]]*Tablo1[[#This Row],[Unit_Cost]])</f>
        <v>20070</v>
      </c>
    </row>
    <row r="686" spans="1:12" x14ac:dyDescent="0.3">
      <c r="A686" s="2">
        <v>1685</v>
      </c>
      <c r="B686" s="7">
        <v>45497</v>
      </c>
      <c r="C686" s="8" t="s">
        <v>74</v>
      </c>
      <c r="D686" s="2" t="s">
        <v>15</v>
      </c>
      <c r="E686" s="2" t="s">
        <v>30</v>
      </c>
      <c r="F686" s="2" t="s">
        <v>27</v>
      </c>
      <c r="G686" s="2" t="s">
        <v>28</v>
      </c>
      <c r="H686" s="2">
        <v>6</v>
      </c>
      <c r="I686" s="4">
        <v>2442</v>
      </c>
      <c r="J686" s="4">
        <v>1948</v>
      </c>
      <c r="K686" s="4">
        <f>Tablo1[[#This Row],[Quantity]]*Tablo1[[#This Row],[Unit_Price]]</f>
        <v>14652</v>
      </c>
      <c r="L686" s="4">
        <f>Tablo1[[#This Row],[Sales]]-(Tablo1[[#This Row],[Quantity]]*Tablo1[[#This Row],[Unit_Cost]])</f>
        <v>2964</v>
      </c>
    </row>
    <row r="687" spans="1:12" x14ac:dyDescent="0.3">
      <c r="A687" s="2">
        <v>1686</v>
      </c>
      <c r="B687" s="7">
        <v>45365</v>
      </c>
      <c r="C687" s="8" t="s">
        <v>73</v>
      </c>
      <c r="D687" s="2" t="s">
        <v>10</v>
      </c>
      <c r="E687" s="2" t="s">
        <v>38</v>
      </c>
      <c r="F687" s="2" t="s">
        <v>39</v>
      </c>
      <c r="G687" s="2" t="s">
        <v>28</v>
      </c>
      <c r="H687" s="2">
        <v>3</v>
      </c>
      <c r="I687" s="4">
        <v>348</v>
      </c>
      <c r="J687" s="4">
        <v>181</v>
      </c>
      <c r="K687" s="4">
        <f>Tablo1[[#This Row],[Quantity]]*Tablo1[[#This Row],[Unit_Price]]</f>
        <v>1044</v>
      </c>
      <c r="L687" s="4">
        <f>Tablo1[[#This Row],[Sales]]-(Tablo1[[#This Row],[Quantity]]*Tablo1[[#This Row],[Unit_Cost]])</f>
        <v>501</v>
      </c>
    </row>
    <row r="688" spans="1:12" x14ac:dyDescent="0.3">
      <c r="A688" s="2">
        <v>1687</v>
      </c>
      <c r="B688" s="7">
        <v>45567</v>
      </c>
      <c r="C688" s="8" t="s">
        <v>73</v>
      </c>
      <c r="D688" s="2" t="s">
        <v>22</v>
      </c>
      <c r="E688" s="2" t="s">
        <v>26</v>
      </c>
      <c r="F688" s="2" t="s">
        <v>46</v>
      </c>
      <c r="G688" s="2" t="s">
        <v>17</v>
      </c>
      <c r="H688" s="2">
        <v>4</v>
      </c>
      <c r="I688" s="4">
        <v>9723</v>
      </c>
      <c r="J688" s="4">
        <v>7075</v>
      </c>
      <c r="K688" s="4">
        <f>Tablo1[[#This Row],[Quantity]]*Tablo1[[#This Row],[Unit_Price]]</f>
        <v>38892</v>
      </c>
      <c r="L688" s="4">
        <f>Tablo1[[#This Row],[Sales]]-(Tablo1[[#This Row],[Quantity]]*Tablo1[[#This Row],[Unit_Cost]])</f>
        <v>10592</v>
      </c>
    </row>
    <row r="689" spans="1:12" x14ac:dyDescent="0.3">
      <c r="A689" s="2">
        <v>1688</v>
      </c>
      <c r="B689" s="7">
        <v>45542</v>
      </c>
      <c r="C689" s="8" t="s">
        <v>75</v>
      </c>
      <c r="D689" s="2" t="s">
        <v>22</v>
      </c>
      <c r="E689" s="2" t="s">
        <v>23</v>
      </c>
      <c r="F689" s="2" t="s">
        <v>24</v>
      </c>
      <c r="G689" s="2" t="s">
        <v>25</v>
      </c>
      <c r="H689" s="2">
        <v>6</v>
      </c>
      <c r="I689" s="4">
        <v>4062</v>
      </c>
      <c r="J689" s="4">
        <v>2717</v>
      </c>
      <c r="K689" s="4">
        <f>Tablo1[[#This Row],[Quantity]]*Tablo1[[#This Row],[Unit_Price]]</f>
        <v>24372</v>
      </c>
      <c r="L689" s="4">
        <f>Tablo1[[#This Row],[Sales]]-(Tablo1[[#This Row],[Quantity]]*Tablo1[[#This Row],[Unit_Cost]])</f>
        <v>8070</v>
      </c>
    </row>
    <row r="690" spans="1:12" x14ac:dyDescent="0.3">
      <c r="A690" s="2">
        <v>1689</v>
      </c>
      <c r="B690" s="7">
        <v>45472</v>
      </c>
      <c r="C690" s="8" t="s">
        <v>74</v>
      </c>
      <c r="D690" s="2" t="s">
        <v>32</v>
      </c>
      <c r="E690" s="2" t="s">
        <v>30</v>
      </c>
      <c r="F690" s="2" t="s">
        <v>11</v>
      </c>
      <c r="G690" s="2" t="s">
        <v>12</v>
      </c>
      <c r="H690" s="2">
        <v>7</v>
      </c>
      <c r="I690" s="4">
        <v>14559</v>
      </c>
      <c r="J690" s="4">
        <v>11346</v>
      </c>
      <c r="K690" s="4">
        <f>Tablo1[[#This Row],[Quantity]]*Tablo1[[#This Row],[Unit_Price]]</f>
        <v>101913</v>
      </c>
      <c r="L690" s="4">
        <f>Tablo1[[#This Row],[Sales]]-(Tablo1[[#This Row],[Quantity]]*Tablo1[[#This Row],[Unit_Cost]])</f>
        <v>22491</v>
      </c>
    </row>
    <row r="691" spans="1:12" x14ac:dyDescent="0.3">
      <c r="A691" s="2">
        <v>1690</v>
      </c>
      <c r="B691" s="7">
        <v>45625</v>
      </c>
      <c r="C691" s="8" t="s">
        <v>76</v>
      </c>
      <c r="D691" s="2" t="s">
        <v>15</v>
      </c>
      <c r="E691" s="2" t="s">
        <v>38</v>
      </c>
      <c r="F691" s="2" t="s">
        <v>40</v>
      </c>
      <c r="G691" s="2" t="s">
        <v>25</v>
      </c>
      <c r="H691" s="2">
        <v>1</v>
      </c>
      <c r="I691" s="4">
        <v>5741</v>
      </c>
      <c r="J691" s="4">
        <v>4203</v>
      </c>
      <c r="K691" s="4">
        <f>Tablo1[[#This Row],[Quantity]]*Tablo1[[#This Row],[Unit_Price]]</f>
        <v>5741</v>
      </c>
      <c r="L691" s="4">
        <f>Tablo1[[#This Row],[Sales]]-(Tablo1[[#This Row],[Quantity]]*Tablo1[[#This Row],[Unit_Cost]])</f>
        <v>1538</v>
      </c>
    </row>
    <row r="692" spans="1:12" x14ac:dyDescent="0.3">
      <c r="A692" s="2">
        <v>1691</v>
      </c>
      <c r="B692" s="7">
        <v>45479</v>
      </c>
      <c r="C692" s="8" t="s">
        <v>75</v>
      </c>
      <c r="D692" s="2" t="s">
        <v>10</v>
      </c>
      <c r="E692" s="2" t="s">
        <v>38</v>
      </c>
      <c r="F692" s="2" t="s">
        <v>37</v>
      </c>
      <c r="G692" s="2" t="s">
        <v>28</v>
      </c>
      <c r="H692" s="2">
        <v>3</v>
      </c>
      <c r="I692" s="4">
        <v>1012</v>
      </c>
      <c r="J692" s="4">
        <v>681</v>
      </c>
      <c r="K692" s="4">
        <f>Tablo1[[#This Row],[Quantity]]*Tablo1[[#This Row],[Unit_Price]]</f>
        <v>3036</v>
      </c>
      <c r="L692" s="4">
        <f>Tablo1[[#This Row],[Sales]]-(Tablo1[[#This Row],[Quantity]]*Tablo1[[#This Row],[Unit_Cost]])</f>
        <v>993</v>
      </c>
    </row>
    <row r="693" spans="1:12" x14ac:dyDescent="0.3">
      <c r="A693" s="2">
        <v>1692</v>
      </c>
      <c r="B693" s="7">
        <v>45329</v>
      </c>
      <c r="C693" s="8" t="s">
        <v>73</v>
      </c>
      <c r="D693" s="2" t="s">
        <v>41</v>
      </c>
      <c r="E693" s="2" t="s">
        <v>26</v>
      </c>
      <c r="F693" s="2" t="s">
        <v>49</v>
      </c>
      <c r="G693" s="2" t="s">
        <v>12</v>
      </c>
      <c r="H693" s="2">
        <v>10</v>
      </c>
      <c r="I693" s="4">
        <v>14783</v>
      </c>
      <c r="J693" s="4">
        <v>9136</v>
      </c>
      <c r="K693" s="4">
        <f>Tablo1[[#This Row],[Quantity]]*Tablo1[[#This Row],[Unit_Price]]</f>
        <v>147830</v>
      </c>
      <c r="L693" s="4">
        <f>Tablo1[[#This Row],[Sales]]-(Tablo1[[#This Row],[Quantity]]*Tablo1[[#This Row],[Unit_Cost]])</f>
        <v>56470</v>
      </c>
    </row>
    <row r="694" spans="1:12" x14ac:dyDescent="0.3">
      <c r="A694" s="2">
        <v>1693</v>
      </c>
      <c r="B694" s="7">
        <v>45536</v>
      </c>
      <c r="C694" s="8" t="s">
        <v>76</v>
      </c>
      <c r="D694" s="2" t="s">
        <v>35</v>
      </c>
      <c r="E694" s="2" t="s">
        <v>26</v>
      </c>
      <c r="F694" s="2" t="s">
        <v>42</v>
      </c>
      <c r="G694" s="2" t="s">
        <v>12</v>
      </c>
      <c r="H694" s="2">
        <v>1</v>
      </c>
      <c r="I694" s="4">
        <v>11696</v>
      </c>
      <c r="J694" s="4">
        <v>8867</v>
      </c>
      <c r="K694" s="4">
        <f>Tablo1[[#This Row],[Quantity]]*Tablo1[[#This Row],[Unit_Price]]</f>
        <v>11696</v>
      </c>
      <c r="L694" s="4">
        <f>Tablo1[[#This Row],[Sales]]-(Tablo1[[#This Row],[Quantity]]*Tablo1[[#This Row],[Unit_Cost]])</f>
        <v>2829</v>
      </c>
    </row>
    <row r="695" spans="1:12" x14ac:dyDescent="0.3">
      <c r="A695" s="2">
        <v>1694</v>
      </c>
      <c r="B695" s="7">
        <v>45558</v>
      </c>
      <c r="C695" s="8" t="s">
        <v>74</v>
      </c>
      <c r="D695" s="2" t="s">
        <v>32</v>
      </c>
      <c r="E695" s="2" t="s">
        <v>26</v>
      </c>
      <c r="F695" s="2" t="s">
        <v>33</v>
      </c>
      <c r="G695" s="2" t="s">
        <v>34</v>
      </c>
      <c r="H695" s="2">
        <v>2</v>
      </c>
      <c r="I695" s="4">
        <v>1377</v>
      </c>
      <c r="J695" s="4">
        <v>997</v>
      </c>
      <c r="K695" s="4">
        <f>Tablo1[[#This Row],[Quantity]]*Tablo1[[#This Row],[Unit_Price]]</f>
        <v>2754</v>
      </c>
      <c r="L695" s="4">
        <f>Tablo1[[#This Row],[Sales]]-(Tablo1[[#This Row],[Quantity]]*Tablo1[[#This Row],[Unit_Cost]])</f>
        <v>760</v>
      </c>
    </row>
    <row r="696" spans="1:12" x14ac:dyDescent="0.3">
      <c r="A696" s="2">
        <v>1695</v>
      </c>
      <c r="B696" s="7">
        <v>45298</v>
      </c>
      <c r="C696" s="8" t="s">
        <v>77</v>
      </c>
      <c r="D696" s="2" t="s">
        <v>41</v>
      </c>
      <c r="E696" s="2" t="s">
        <v>38</v>
      </c>
      <c r="F696" s="2" t="s">
        <v>27</v>
      </c>
      <c r="G696" s="2" t="s">
        <v>28</v>
      </c>
      <c r="H696" s="2">
        <v>6</v>
      </c>
      <c r="I696" s="4">
        <v>1750</v>
      </c>
      <c r="J696" s="4">
        <v>1152</v>
      </c>
      <c r="K696" s="4">
        <f>Tablo1[[#This Row],[Quantity]]*Tablo1[[#This Row],[Unit_Price]]</f>
        <v>10500</v>
      </c>
      <c r="L696" s="4">
        <f>Tablo1[[#This Row],[Sales]]-(Tablo1[[#This Row],[Quantity]]*Tablo1[[#This Row],[Unit_Cost]])</f>
        <v>3588</v>
      </c>
    </row>
    <row r="697" spans="1:12" x14ac:dyDescent="0.3">
      <c r="A697" s="2">
        <v>1696</v>
      </c>
      <c r="B697" s="7">
        <v>45457</v>
      </c>
      <c r="C697" s="8" t="s">
        <v>75</v>
      </c>
      <c r="D697" s="2" t="s">
        <v>44</v>
      </c>
      <c r="E697" s="2" t="s">
        <v>20</v>
      </c>
      <c r="F697" s="2" t="s">
        <v>24</v>
      </c>
      <c r="G697" s="2" t="s">
        <v>25</v>
      </c>
      <c r="H697" s="2">
        <v>6</v>
      </c>
      <c r="I697" s="4">
        <v>3844</v>
      </c>
      <c r="J697" s="4">
        <v>2759</v>
      </c>
      <c r="K697" s="4">
        <f>Tablo1[[#This Row],[Quantity]]*Tablo1[[#This Row],[Unit_Price]]</f>
        <v>23064</v>
      </c>
      <c r="L697" s="4">
        <f>Tablo1[[#This Row],[Sales]]-(Tablo1[[#This Row],[Quantity]]*Tablo1[[#This Row],[Unit_Cost]])</f>
        <v>6510</v>
      </c>
    </row>
    <row r="698" spans="1:12" x14ac:dyDescent="0.3">
      <c r="A698" s="2">
        <v>1697</v>
      </c>
      <c r="B698" s="7">
        <v>45405</v>
      </c>
      <c r="C698" s="8" t="s">
        <v>76</v>
      </c>
      <c r="D698" s="2" t="s">
        <v>41</v>
      </c>
      <c r="E698" s="2" t="s">
        <v>38</v>
      </c>
      <c r="F698" s="2" t="s">
        <v>40</v>
      </c>
      <c r="G698" s="2" t="s">
        <v>25</v>
      </c>
      <c r="H698" s="2">
        <v>4</v>
      </c>
      <c r="I698" s="4">
        <v>2456</v>
      </c>
      <c r="J698" s="4">
        <v>1477</v>
      </c>
      <c r="K698" s="4">
        <f>Tablo1[[#This Row],[Quantity]]*Tablo1[[#This Row],[Unit_Price]]</f>
        <v>9824</v>
      </c>
      <c r="L698" s="4">
        <f>Tablo1[[#This Row],[Sales]]-(Tablo1[[#This Row],[Quantity]]*Tablo1[[#This Row],[Unit_Cost]])</f>
        <v>3916</v>
      </c>
    </row>
    <row r="699" spans="1:12" x14ac:dyDescent="0.3">
      <c r="A699" s="2">
        <v>1698</v>
      </c>
      <c r="B699" s="7">
        <v>45567</v>
      </c>
      <c r="C699" s="8" t="s">
        <v>75</v>
      </c>
      <c r="D699" s="2" t="s">
        <v>44</v>
      </c>
      <c r="E699" s="2" t="s">
        <v>26</v>
      </c>
      <c r="F699" s="2" t="s">
        <v>11</v>
      </c>
      <c r="G699" s="2" t="s">
        <v>12</v>
      </c>
      <c r="H699" s="2">
        <v>8</v>
      </c>
      <c r="I699" s="4">
        <v>16721</v>
      </c>
      <c r="J699" s="4">
        <v>9914</v>
      </c>
      <c r="K699" s="4">
        <f>Tablo1[[#This Row],[Quantity]]*Tablo1[[#This Row],[Unit_Price]]</f>
        <v>133768</v>
      </c>
      <c r="L699" s="4">
        <f>Tablo1[[#This Row],[Sales]]-(Tablo1[[#This Row],[Quantity]]*Tablo1[[#This Row],[Unit_Cost]])</f>
        <v>54456</v>
      </c>
    </row>
    <row r="700" spans="1:12" x14ac:dyDescent="0.3">
      <c r="A700" s="2">
        <v>1699</v>
      </c>
      <c r="B700" s="7">
        <v>45428</v>
      </c>
      <c r="C700" s="8" t="s">
        <v>74</v>
      </c>
      <c r="D700" s="2" t="s">
        <v>43</v>
      </c>
      <c r="E700" s="2" t="s">
        <v>30</v>
      </c>
      <c r="F700" s="2" t="s">
        <v>40</v>
      </c>
      <c r="G700" s="2" t="s">
        <v>25</v>
      </c>
      <c r="H700" s="2">
        <v>4</v>
      </c>
      <c r="I700" s="4">
        <v>1064</v>
      </c>
      <c r="J700" s="4">
        <v>639</v>
      </c>
      <c r="K700" s="4">
        <f>Tablo1[[#This Row],[Quantity]]*Tablo1[[#This Row],[Unit_Price]]</f>
        <v>4256</v>
      </c>
      <c r="L700" s="4">
        <f>Tablo1[[#This Row],[Sales]]-(Tablo1[[#This Row],[Quantity]]*Tablo1[[#This Row],[Unit_Cost]])</f>
        <v>1700</v>
      </c>
    </row>
    <row r="701" spans="1:12" x14ac:dyDescent="0.3">
      <c r="A701" s="2">
        <v>1700</v>
      </c>
      <c r="B701" s="7">
        <v>45350</v>
      </c>
      <c r="C701" s="8" t="s">
        <v>73</v>
      </c>
      <c r="D701" s="2" t="s">
        <v>35</v>
      </c>
      <c r="E701" s="2" t="s">
        <v>38</v>
      </c>
      <c r="F701" s="2" t="s">
        <v>45</v>
      </c>
      <c r="G701" s="2" t="s">
        <v>34</v>
      </c>
      <c r="H701" s="2">
        <v>8</v>
      </c>
      <c r="I701" s="4">
        <v>3101</v>
      </c>
      <c r="J701" s="4">
        <v>2182</v>
      </c>
      <c r="K701" s="4">
        <f>Tablo1[[#This Row],[Quantity]]*Tablo1[[#This Row],[Unit_Price]]</f>
        <v>24808</v>
      </c>
      <c r="L701" s="4">
        <f>Tablo1[[#This Row],[Sales]]-(Tablo1[[#This Row],[Quantity]]*Tablo1[[#This Row],[Unit_Cost]])</f>
        <v>7352</v>
      </c>
    </row>
    <row r="702" spans="1:12" x14ac:dyDescent="0.3">
      <c r="A702" s="2">
        <v>1701</v>
      </c>
      <c r="B702" s="7">
        <v>45590</v>
      </c>
      <c r="C702" s="8" t="s">
        <v>73</v>
      </c>
      <c r="D702" s="2" t="s">
        <v>41</v>
      </c>
      <c r="E702" s="2" t="s">
        <v>23</v>
      </c>
      <c r="F702" s="2" t="s">
        <v>16</v>
      </c>
      <c r="G702" s="2" t="s">
        <v>17</v>
      </c>
      <c r="H702" s="2">
        <v>1</v>
      </c>
      <c r="I702" s="4">
        <v>10547</v>
      </c>
      <c r="J702" s="4">
        <v>8437</v>
      </c>
      <c r="K702" s="4">
        <f>Tablo1[[#This Row],[Quantity]]*Tablo1[[#This Row],[Unit_Price]]</f>
        <v>10547</v>
      </c>
      <c r="L702" s="4">
        <f>Tablo1[[#This Row],[Sales]]-(Tablo1[[#This Row],[Quantity]]*Tablo1[[#This Row],[Unit_Cost]])</f>
        <v>2110</v>
      </c>
    </row>
    <row r="703" spans="1:12" x14ac:dyDescent="0.3">
      <c r="A703" s="2">
        <v>1702</v>
      </c>
      <c r="B703" s="7">
        <v>45454</v>
      </c>
      <c r="C703" s="8" t="s">
        <v>75</v>
      </c>
      <c r="D703" s="2" t="s">
        <v>35</v>
      </c>
      <c r="E703" s="2" t="s">
        <v>26</v>
      </c>
      <c r="F703" s="2" t="s">
        <v>48</v>
      </c>
      <c r="G703" s="2" t="s">
        <v>34</v>
      </c>
      <c r="H703" s="2">
        <v>7</v>
      </c>
      <c r="I703" s="4">
        <v>6674</v>
      </c>
      <c r="J703" s="4">
        <v>3652</v>
      </c>
      <c r="K703" s="4">
        <f>Tablo1[[#This Row],[Quantity]]*Tablo1[[#This Row],[Unit_Price]]</f>
        <v>46718</v>
      </c>
      <c r="L703" s="4">
        <f>Tablo1[[#This Row],[Sales]]-(Tablo1[[#This Row],[Quantity]]*Tablo1[[#This Row],[Unit_Cost]])</f>
        <v>21154</v>
      </c>
    </row>
    <row r="704" spans="1:12" x14ac:dyDescent="0.3">
      <c r="A704" s="2">
        <v>1703</v>
      </c>
      <c r="B704" s="7">
        <v>45464</v>
      </c>
      <c r="C704" s="8" t="s">
        <v>74</v>
      </c>
      <c r="D704" s="2" t="s">
        <v>43</v>
      </c>
      <c r="E704" s="2" t="s">
        <v>23</v>
      </c>
      <c r="F704" s="2" t="s">
        <v>14</v>
      </c>
      <c r="G704" s="2" t="s">
        <v>12</v>
      </c>
      <c r="H704" s="2">
        <v>6</v>
      </c>
      <c r="I704" s="4">
        <v>18724</v>
      </c>
      <c r="J704" s="4">
        <v>14852</v>
      </c>
      <c r="K704" s="4">
        <f>Tablo1[[#This Row],[Quantity]]*Tablo1[[#This Row],[Unit_Price]]</f>
        <v>112344</v>
      </c>
      <c r="L704" s="4">
        <f>Tablo1[[#This Row],[Sales]]-(Tablo1[[#This Row],[Quantity]]*Tablo1[[#This Row],[Unit_Cost]])</f>
        <v>23232</v>
      </c>
    </row>
    <row r="705" spans="1:12" x14ac:dyDescent="0.3">
      <c r="A705" s="2">
        <v>1704</v>
      </c>
      <c r="B705" s="7">
        <v>45320</v>
      </c>
      <c r="C705" s="8" t="s">
        <v>76</v>
      </c>
      <c r="D705" s="2" t="s">
        <v>41</v>
      </c>
      <c r="E705" s="2" t="s">
        <v>20</v>
      </c>
      <c r="F705" s="2" t="s">
        <v>27</v>
      </c>
      <c r="G705" s="2" t="s">
        <v>28</v>
      </c>
      <c r="H705" s="2">
        <v>2</v>
      </c>
      <c r="I705" s="4">
        <v>2349</v>
      </c>
      <c r="J705" s="4">
        <v>1723</v>
      </c>
      <c r="K705" s="4">
        <f>Tablo1[[#This Row],[Quantity]]*Tablo1[[#This Row],[Unit_Price]]</f>
        <v>4698</v>
      </c>
      <c r="L705" s="4">
        <f>Tablo1[[#This Row],[Sales]]-(Tablo1[[#This Row],[Quantity]]*Tablo1[[#This Row],[Unit_Cost]])</f>
        <v>1252</v>
      </c>
    </row>
    <row r="706" spans="1:12" x14ac:dyDescent="0.3">
      <c r="A706" s="2">
        <v>1705</v>
      </c>
      <c r="B706" s="7">
        <v>45380</v>
      </c>
      <c r="C706" s="8" t="s">
        <v>75</v>
      </c>
      <c r="D706" s="2" t="s">
        <v>43</v>
      </c>
      <c r="E706" s="2" t="s">
        <v>23</v>
      </c>
      <c r="F706" s="2" t="s">
        <v>29</v>
      </c>
      <c r="G706" s="2" t="s">
        <v>25</v>
      </c>
      <c r="H706" s="2">
        <v>3</v>
      </c>
      <c r="I706" s="4">
        <v>1217</v>
      </c>
      <c r="J706" s="4">
        <v>692</v>
      </c>
      <c r="K706" s="4">
        <f>Tablo1[[#This Row],[Quantity]]*Tablo1[[#This Row],[Unit_Price]]</f>
        <v>3651</v>
      </c>
      <c r="L706" s="4">
        <f>Tablo1[[#This Row],[Sales]]-(Tablo1[[#This Row],[Quantity]]*Tablo1[[#This Row],[Unit_Cost]])</f>
        <v>1575</v>
      </c>
    </row>
    <row r="707" spans="1:12" x14ac:dyDescent="0.3">
      <c r="A707" s="2">
        <v>1706</v>
      </c>
      <c r="B707" s="7">
        <v>45413</v>
      </c>
      <c r="C707" s="8" t="s">
        <v>73</v>
      </c>
      <c r="D707" s="2" t="s">
        <v>13</v>
      </c>
      <c r="E707" s="2" t="s">
        <v>20</v>
      </c>
      <c r="F707" s="2" t="s">
        <v>14</v>
      </c>
      <c r="G707" s="2" t="s">
        <v>12</v>
      </c>
      <c r="H707" s="2">
        <v>5</v>
      </c>
      <c r="I707" s="4">
        <v>20179</v>
      </c>
      <c r="J707" s="4">
        <v>10117</v>
      </c>
      <c r="K707" s="4">
        <f>Tablo1[[#This Row],[Quantity]]*Tablo1[[#This Row],[Unit_Price]]</f>
        <v>100895</v>
      </c>
      <c r="L707" s="4">
        <f>Tablo1[[#This Row],[Sales]]-(Tablo1[[#This Row],[Quantity]]*Tablo1[[#This Row],[Unit_Cost]])</f>
        <v>50310</v>
      </c>
    </row>
    <row r="708" spans="1:12" x14ac:dyDescent="0.3">
      <c r="A708" s="2">
        <v>1707</v>
      </c>
      <c r="B708" s="7">
        <v>45424</v>
      </c>
      <c r="C708" s="8" t="s">
        <v>76</v>
      </c>
      <c r="D708" s="2" t="s">
        <v>10</v>
      </c>
      <c r="E708" s="2" t="s">
        <v>30</v>
      </c>
      <c r="F708" s="2" t="s">
        <v>21</v>
      </c>
      <c r="G708" s="2" t="s">
        <v>17</v>
      </c>
      <c r="H708" s="2">
        <v>4</v>
      </c>
      <c r="I708" s="4">
        <v>7628</v>
      </c>
      <c r="J708" s="4">
        <v>5551</v>
      </c>
      <c r="K708" s="4">
        <f>Tablo1[[#This Row],[Quantity]]*Tablo1[[#This Row],[Unit_Price]]</f>
        <v>30512</v>
      </c>
      <c r="L708" s="4">
        <f>Tablo1[[#This Row],[Sales]]-(Tablo1[[#This Row],[Quantity]]*Tablo1[[#This Row],[Unit_Cost]])</f>
        <v>8308</v>
      </c>
    </row>
    <row r="709" spans="1:12" x14ac:dyDescent="0.3">
      <c r="A709" s="2">
        <v>1708</v>
      </c>
      <c r="B709" s="7">
        <v>45612</v>
      </c>
      <c r="C709" s="8" t="s">
        <v>74</v>
      </c>
      <c r="D709" s="2" t="s">
        <v>13</v>
      </c>
      <c r="E709" s="2" t="s">
        <v>30</v>
      </c>
      <c r="F709" s="2" t="s">
        <v>14</v>
      </c>
      <c r="G709" s="2" t="s">
        <v>12</v>
      </c>
      <c r="H709" s="2">
        <v>5</v>
      </c>
      <c r="I709" s="4">
        <v>7150</v>
      </c>
      <c r="J709" s="4">
        <v>4356</v>
      </c>
      <c r="K709" s="4">
        <f>Tablo1[[#This Row],[Quantity]]*Tablo1[[#This Row],[Unit_Price]]</f>
        <v>35750</v>
      </c>
      <c r="L709" s="4">
        <f>Tablo1[[#This Row],[Sales]]-(Tablo1[[#This Row],[Quantity]]*Tablo1[[#This Row],[Unit_Cost]])</f>
        <v>13970</v>
      </c>
    </row>
    <row r="710" spans="1:12" x14ac:dyDescent="0.3">
      <c r="A710" s="2">
        <v>1709</v>
      </c>
      <c r="B710" s="7">
        <v>45423</v>
      </c>
      <c r="C710" s="8" t="s">
        <v>77</v>
      </c>
      <c r="D710" s="2" t="s">
        <v>13</v>
      </c>
      <c r="E710" s="2" t="s">
        <v>38</v>
      </c>
      <c r="F710" s="2" t="s">
        <v>24</v>
      </c>
      <c r="G710" s="2" t="s">
        <v>25</v>
      </c>
      <c r="H710" s="2">
        <v>1</v>
      </c>
      <c r="I710" s="4">
        <v>3507</v>
      </c>
      <c r="J710" s="4">
        <v>1879</v>
      </c>
      <c r="K710" s="4">
        <f>Tablo1[[#This Row],[Quantity]]*Tablo1[[#This Row],[Unit_Price]]</f>
        <v>3507</v>
      </c>
      <c r="L710" s="4">
        <f>Tablo1[[#This Row],[Sales]]-(Tablo1[[#This Row],[Quantity]]*Tablo1[[#This Row],[Unit_Cost]])</f>
        <v>1628</v>
      </c>
    </row>
    <row r="711" spans="1:12" x14ac:dyDescent="0.3">
      <c r="A711" s="2">
        <v>1710</v>
      </c>
      <c r="B711" s="7">
        <v>45577</v>
      </c>
      <c r="C711" s="8" t="s">
        <v>75</v>
      </c>
      <c r="D711" s="2" t="s">
        <v>15</v>
      </c>
      <c r="E711" s="2" t="s">
        <v>38</v>
      </c>
      <c r="F711" s="2" t="s">
        <v>45</v>
      </c>
      <c r="G711" s="2" t="s">
        <v>34</v>
      </c>
      <c r="H711" s="2">
        <v>10</v>
      </c>
      <c r="I711" s="4">
        <v>3258</v>
      </c>
      <c r="J711" s="4">
        <v>2510</v>
      </c>
      <c r="K711" s="4">
        <f>Tablo1[[#This Row],[Quantity]]*Tablo1[[#This Row],[Unit_Price]]</f>
        <v>32580</v>
      </c>
      <c r="L711" s="4">
        <f>Tablo1[[#This Row],[Sales]]-(Tablo1[[#This Row],[Quantity]]*Tablo1[[#This Row],[Unit_Cost]])</f>
        <v>7480</v>
      </c>
    </row>
    <row r="712" spans="1:12" x14ac:dyDescent="0.3">
      <c r="A712" s="2">
        <v>1711</v>
      </c>
      <c r="B712" s="7">
        <v>45311</v>
      </c>
      <c r="C712" s="8" t="s">
        <v>76</v>
      </c>
      <c r="D712" s="2" t="s">
        <v>44</v>
      </c>
      <c r="E712" s="2" t="s">
        <v>20</v>
      </c>
      <c r="F712" s="2" t="s">
        <v>24</v>
      </c>
      <c r="G712" s="2" t="s">
        <v>25</v>
      </c>
      <c r="H712" s="2">
        <v>8</v>
      </c>
      <c r="I712" s="4">
        <v>7595</v>
      </c>
      <c r="J712" s="4">
        <v>4914</v>
      </c>
      <c r="K712" s="4">
        <f>Tablo1[[#This Row],[Quantity]]*Tablo1[[#This Row],[Unit_Price]]</f>
        <v>60760</v>
      </c>
      <c r="L712" s="4">
        <f>Tablo1[[#This Row],[Sales]]-(Tablo1[[#This Row],[Quantity]]*Tablo1[[#This Row],[Unit_Cost]])</f>
        <v>21448</v>
      </c>
    </row>
    <row r="713" spans="1:12" x14ac:dyDescent="0.3">
      <c r="A713" s="2">
        <v>1712</v>
      </c>
      <c r="B713" s="7">
        <v>45592</v>
      </c>
      <c r="C713" s="8" t="s">
        <v>75</v>
      </c>
      <c r="D713" s="2" t="s">
        <v>10</v>
      </c>
      <c r="E713" s="2" t="s">
        <v>30</v>
      </c>
      <c r="F713" s="2" t="s">
        <v>24</v>
      </c>
      <c r="G713" s="2" t="s">
        <v>25</v>
      </c>
      <c r="H713" s="2">
        <v>5</v>
      </c>
      <c r="I713" s="4">
        <v>1951</v>
      </c>
      <c r="J713" s="4">
        <v>1148</v>
      </c>
      <c r="K713" s="4">
        <f>Tablo1[[#This Row],[Quantity]]*Tablo1[[#This Row],[Unit_Price]]</f>
        <v>9755</v>
      </c>
      <c r="L713" s="4">
        <f>Tablo1[[#This Row],[Sales]]-(Tablo1[[#This Row],[Quantity]]*Tablo1[[#This Row],[Unit_Cost]])</f>
        <v>4015</v>
      </c>
    </row>
    <row r="714" spans="1:12" x14ac:dyDescent="0.3">
      <c r="A714" s="2">
        <v>1713</v>
      </c>
      <c r="B714" s="7">
        <v>45360</v>
      </c>
      <c r="C714" s="8" t="s">
        <v>74</v>
      </c>
      <c r="D714" s="2" t="s">
        <v>22</v>
      </c>
      <c r="E714" s="2" t="s">
        <v>23</v>
      </c>
      <c r="F714" s="2" t="s">
        <v>11</v>
      </c>
      <c r="G714" s="2" t="s">
        <v>12</v>
      </c>
      <c r="H714" s="2">
        <v>4</v>
      </c>
      <c r="I714" s="4">
        <v>21714</v>
      </c>
      <c r="J714" s="4">
        <v>13209</v>
      </c>
      <c r="K714" s="4">
        <f>Tablo1[[#This Row],[Quantity]]*Tablo1[[#This Row],[Unit_Price]]</f>
        <v>86856</v>
      </c>
      <c r="L714" s="4">
        <f>Tablo1[[#This Row],[Sales]]-(Tablo1[[#This Row],[Quantity]]*Tablo1[[#This Row],[Unit_Cost]])</f>
        <v>34020</v>
      </c>
    </row>
    <row r="715" spans="1:12" x14ac:dyDescent="0.3">
      <c r="A715" s="2">
        <v>1714</v>
      </c>
      <c r="B715" s="7">
        <v>45416</v>
      </c>
      <c r="C715" s="8" t="s">
        <v>73</v>
      </c>
      <c r="D715" s="2" t="s">
        <v>13</v>
      </c>
      <c r="E715" s="2" t="s">
        <v>30</v>
      </c>
      <c r="F715" s="2" t="s">
        <v>24</v>
      </c>
      <c r="G715" s="2" t="s">
        <v>25</v>
      </c>
      <c r="H715" s="2">
        <v>1</v>
      </c>
      <c r="I715" s="4">
        <v>4984</v>
      </c>
      <c r="J715" s="4">
        <v>3306</v>
      </c>
      <c r="K715" s="4">
        <f>Tablo1[[#This Row],[Quantity]]*Tablo1[[#This Row],[Unit_Price]]</f>
        <v>4984</v>
      </c>
      <c r="L715" s="4">
        <f>Tablo1[[#This Row],[Sales]]-(Tablo1[[#This Row],[Quantity]]*Tablo1[[#This Row],[Unit_Cost]])</f>
        <v>1678</v>
      </c>
    </row>
    <row r="716" spans="1:12" x14ac:dyDescent="0.3">
      <c r="A716" s="2">
        <v>1715</v>
      </c>
      <c r="B716" s="7">
        <v>45312</v>
      </c>
      <c r="C716" s="8" t="s">
        <v>73</v>
      </c>
      <c r="D716" s="2" t="s">
        <v>10</v>
      </c>
      <c r="E716" s="2" t="s">
        <v>30</v>
      </c>
      <c r="F716" s="2" t="s">
        <v>46</v>
      </c>
      <c r="G716" s="2" t="s">
        <v>17</v>
      </c>
      <c r="H716" s="2">
        <v>2</v>
      </c>
      <c r="I716" s="4">
        <v>10338</v>
      </c>
      <c r="J716" s="4">
        <v>5188</v>
      </c>
      <c r="K716" s="4">
        <f>Tablo1[[#This Row],[Quantity]]*Tablo1[[#This Row],[Unit_Price]]</f>
        <v>20676</v>
      </c>
      <c r="L716" s="4">
        <f>Tablo1[[#This Row],[Sales]]-(Tablo1[[#This Row],[Quantity]]*Tablo1[[#This Row],[Unit_Cost]])</f>
        <v>10300</v>
      </c>
    </row>
    <row r="717" spans="1:12" x14ac:dyDescent="0.3">
      <c r="A717" s="2">
        <v>1716</v>
      </c>
      <c r="B717" s="7">
        <v>45343</v>
      </c>
      <c r="C717" s="8" t="s">
        <v>75</v>
      </c>
      <c r="D717" s="2" t="s">
        <v>22</v>
      </c>
      <c r="E717" s="2" t="s">
        <v>30</v>
      </c>
      <c r="F717" s="2" t="s">
        <v>31</v>
      </c>
      <c r="G717" s="2" t="s">
        <v>17</v>
      </c>
      <c r="H717" s="2">
        <v>6</v>
      </c>
      <c r="I717" s="4">
        <v>3837</v>
      </c>
      <c r="J717" s="4">
        <v>2158</v>
      </c>
      <c r="K717" s="4">
        <f>Tablo1[[#This Row],[Quantity]]*Tablo1[[#This Row],[Unit_Price]]</f>
        <v>23022</v>
      </c>
      <c r="L717" s="4">
        <f>Tablo1[[#This Row],[Sales]]-(Tablo1[[#This Row],[Quantity]]*Tablo1[[#This Row],[Unit_Cost]])</f>
        <v>10074</v>
      </c>
    </row>
    <row r="718" spans="1:12" x14ac:dyDescent="0.3">
      <c r="A718" s="2">
        <v>1717</v>
      </c>
      <c r="B718" s="7">
        <v>45292</v>
      </c>
      <c r="C718" s="8" t="s">
        <v>74</v>
      </c>
      <c r="D718" s="2" t="s">
        <v>35</v>
      </c>
      <c r="E718" s="2" t="s">
        <v>26</v>
      </c>
      <c r="F718" s="2" t="s">
        <v>16</v>
      </c>
      <c r="G718" s="2" t="s">
        <v>17</v>
      </c>
      <c r="H718" s="2">
        <v>10</v>
      </c>
      <c r="I718" s="4">
        <v>5735</v>
      </c>
      <c r="J718" s="4">
        <v>4141</v>
      </c>
      <c r="K718" s="4">
        <f>Tablo1[[#This Row],[Quantity]]*Tablo1[[#This Row],[Unit_Price]]</f>
        <v>57350</v>
      </c>
      <c r="L718" s="4">
        <f>Tablo1[[#This Row],[Sales]]-(Tablo1[[#This Row],[Quantity]]*Tablo1[[#This Row],[Unit_Cost]])</f>
        <v>15940</v>
      </c>
    </row>
    <row r="719" spans="1:12" x14ac:dyDescent="0.3">
      <c r="A719" s="2">
        <v>1718</v>
      </c>
      <c r="B719" s="7">
        <v>45367</v>
      </c>
      <c r="C719" s="8" t="s">
        <v>76</v>
      </c>
      <c r="D719" s="2" t="s">
        <v>15</v>
      </c>
      <c r="E719" s="2" t="s">
        <v>38</v>
      </c>
      <c r="F719" s="2" t="s">
        <v>45</v>
      </c>
      <c r="G719" s="2" t="s">
        <v>34</v>
      </c>
      <c r="H719" s="2">
        <v>1</v>
      </c>
      <c r="I719" s="4">
        <v>1159</v>
      </c>
      <c r="J719" s="4">
        <v>617</v>
      </c>
      <c r="K719" s="4">
        <f>Tablo1[[#This Row],[Quantity]]*Tablo1[[#This Row],[Unit_Price]]</f>
        <v>1159</v>
      </c>
      <c r="L719" s="4">
        <f>Tablo1[[#This Row],[Sales]]-(Tablo1[[#This Row],[Quantity]]*Tablo1[[#This Row],[Unit_Cost]])</f>
        <v>542</v>
      </c>
    </row>
    <row r="720" spans="1:12" x14ac:dyDescent="0.3">
      <c r="A720" s="2">
        <v>1719</v>
      </c>
      <c r="B720" s="7">
        <v>45299</v>
      </c>
      <c r="C720" s="8" t="s">
        <v>75</v>
      </c>
      <c r="D720" s="2" t="s">
        <v>10</v>
      </c>
      <c r="E720" s="2" t="s">
        <v>23</v>
      </c>
      <c r="F720" s="2" t="s">
        <v>11</v>
      </c>
      <c r="G720" s="2" t="s">
        <v>12</v>
      </c>
      <c r="H720" s="2">
        <v>7</v>
      </c>
      <c r="I720" s="4">
        <v>22458</v>
      </c>
      <c r="J720" s="4">
        <v>15399</v>
      </c>
      <c r="K720" s="4">
        <f>Tablo1[[#This Row],[Quantity]]*Tablo1[[#This Row],[Unit_Price]]</f>
        <v>157206</v>
      </c>
      <c r="L720" s="4">
        <f>Tablo1[[#This Row],[Sales]]-(Tablo1[[#This Row],[Quantity]]*Tablo1[[#This Row],[Unit_Cost]])</f>
        <v>49413</v>
      </c>
    </row>
    <row r="721" spans="1:12" x14ac:dyDescent="0.3">
      <c r="A721" s="2">
        <v>1720</v>
      </c>
      <c r="B721" s="7">
        <v>45344</v>
      </c>
      <c r="C721" s="8" t="s">
        <v>73</v>
      </c>
      <c r="D721" s="2" t="s">
        <v>32</v>
      </c>
      <c r="E721" s="2" t="s">
        <v>20</v>
      </c>
      <c r="F721" s="2" t="s">
        <v>48</v>
      </c>
      <c r="G721" s="2" t="s">
        <v>34</v>
      </c>
      <c r="H721" s="2">
        <v>9</v>
      </c>
      <c r="I721" s="4">
        <v>6704</v>
      </c>
      <c r="J721" s="4">
        <v>3792</v>
      </c>
      <c r="K721" s="4">
        <f>Tablo1[[#This Row],[Quantity]]*Tablo1[[#This Row],[Unit_Price]]</f>
        <v>60336</v>
      </c>
      <c r="L721" s="4">
        <f>Tablo1[[#This Row],[Sales]]-(Tablo1[[#This Row],[Quantity]]*Tablo1[[#This Row],[Unit_Cost]])</f>
        <v>26208</v>
      </c>
    </row>
    <row r="722" spans="1:12" x14ac:dyDescent="0.3">
      <c r="A722" s="2">
        <v>1721</v>
      </c>
      <c r="B722" s="7">
        <v>45299</v>
      </c>
      <c r="C722" s="8" t="s">
        <v>76</v>
      </c>
      <c r="D722" s="2" t="s">
        <v>35</v>
      </c>
      <c r="E722" s="2" t="s">
        <v>20</v>
      </c>
      <c r="F722" s="2" t="s">
        <v>50</v>
      </c>
      <c r="G722" s="2" t="s">
        <v>28</v>
      </c>
      <c r="H722" s="2">
        <v>6</v>
      </c>
      <c r="I722" s="4">
        <v>1764</v>
      </c>
      <c r="J722" s="4">
        <v>985</v>
      </c>
      <c r="K722" s="4">
        <f>Tablo1[[#This Row],[Quantity]]*Tablo1[[#This Row],[Unit_Price]]</f>
        <v>10584</v>
      </c>
      <c r="L722" s="4">
        <f>Tablo1[[#This Row],[Sales]]-(Tablo1[[#This Row],[Quantity]]*Tablo1[[#This Row],[Unit_Cost]])</f>
        <v>4674</v>
      </c>
    </row>
    <row r="723" spans="1:12" x14ac:dyDescent="0.3">
      <c r="A723" s="2">
        <v>1722</v>
      </c>
      <c r="B723" s="7">
        <v>45448</v>
      </c>
      <c r="C723" s="8" t="s">
        <v>74</v>
      </c>
      <c r="D723" s="2" t="s">
        <v>44</v>
      </c>
      <c r="E723" s="2" t="s">
        <v>30</v>
      </c>
      <c r="F723" s="2" t="s">
        <v>11</v>
      </c>
      <c r="G723" s="2" t="s">
        <v>12</v>
      </c>
      <c r="H723" s="2">
        <v>3</v>
      </c>
      <c r="I723" s="4">
        <v>5002</v>
      </c>
      <c r="J723" s="4">
        <v>2855</v>
      </c>
      <c r="K723" s="4">
        <f>Tablo1[[#This Row],[Quantity]]*Tablo1[[#This Row],[Unit_Price]]</f>
        <v>15006</v>
      </c>
      <c r="L723" s="4">
        <f>Tablo1[[#This Row],[Sales]]-(Tablo1[[#This Row],[Quantity]]*Tablo1[[#This Row],[Unit_Cost]])</f>
        <v>6441</v>
      </c>
    </row>
    <row r="724" spans="1:12" x14ac:dyDescent="0.3">
      <c r="A724" s="2">
        <v>1723</v>
      </c>
      <c r="B724" s="7">
        <v>45580</v>
      </c>
      <c r="C724" s="8" t="s">
        <v>77</v>
      </c>
      <c r="D724" s="2" t="s">
        <v>32</v>
      </c>
      <c r="E724" s="2" t="s">
        <v>30</v>
      </c>
      <c r="F724" s="2" t="s">
        <v>47</v>
      </c>
      <c r="G724" s="2" t="s">
        <v>25</v>
      </c>
      <c r="H724" s="2">
        <v>5</v>
      </c>
      <c r="I724" s="4">
        <v>3382</v>
      </c>
      <c r="J724" s="4">
        <v>2418</v>
      </c>
      <c r="K724" s="4">
        <f>Tablo1[[#This Row],[Quantity]]*Tablo1[[#This Row],[Unit_Price]]</f>
        <v>16910</v>
      </c>
      <c r="L724" s="4">
        <f>Tablo1[[#This Row],[Sales]]-(Tablo1[[#This Row],[Quantity]]*Tablo1[[#This Row],[Unit_Cost]])</f>
        <v>4820</v>
      </c>
    </row>
    <row r="725" spans="1:12" x14ac:dyDescent="0.3">
      <c r="A725" s="2">
        <v>1724</v>
      </c>
      <c r="B725" s="7">
        <v>45525</v>
      </c>
      <c r="C725" s="8" t="s">
        <v>75</v>
      </c>
      <c r="D725" s="2" t="s">
        <v>19</v>
      </c>
      <c r="E725" s="2" t="s">
        <v>30</v>
      </c>
      <c r="F725" s="2" t="s">
        <v>40</v>
      </c>
      <c r="G725" s="2" t="s">
        <v>25</v>
      </c>
      <c r="H725" s="2">
        <v>5</v>
      </c>
      <c r="I725" s="4">
        <v>2250</v>
      </c>
      <c r="J725" s="4">
        <v>1789</v>
      </c>
      <c r="K725" s="4">
        <f>Tablo1[[#This Row],[Quantity]]*Tablo1[[#This Row],[Unit_Price]]</f>
        <v>11250</v>
      </c>
      <c r="L725" s="4">
        <f>Tablo1[[#This Row],[Sales]]-(Tablo1[[#This Row],[Quantity]]*Tablo1[[#This Row],[Unit_Cost]])</f>
        <v>2305</v>
      </c>
    </row>
    <row r="726" spans="1:12" x14ac:dyDescent="0.3">
      <c r="A726" s="2">
        <v>1725</v>
      </c>
      <c r="B726" s="7">
        <v>45464</v>
      </c>
      <c r="C726" s="8" t="s">
        <v>76</v>
      </c>
      <c r="D726" s="2" t="s">
        <v>22</v>
      </c>
      <c r="E726" s="2" t="s">
        <v>38</v>
      </c>
      <c r="F726" s="2" t="s">
        <v>46</v>
      </c>
      <c r="G726" s="2" t="s">
        <v>17</v>
      </c>
      <c r="H726" s="2">
        <v>1</v>
      </c>
      <c r="I726" s="4">
        <v>11801</v>
      </c>
      <c r="J726" s="4">
        <v>8026</v>
      </c>
      <c r="K726" s="4">
        <f>Tablo1[[#This Row],[Quantity]]*Tablo1[[#This Row],[Unit_Price]]</f>
        <v>11801</v>
      </c>
      <c r="L726" s="4">
        <f>Tablo1[[#This Row],[Sales]]-(Tablo1[[#This Row],[Quantity]]*Tablo1[[#This Row],[Unit_Cost]])</f>
        <v>3775</v>
      </c>
    </row>
    <row r="727" spans="1:12" x14ac:dyDescent="0.3">
      <c r="A727" s="2">
        <v>1726</v>
      </c>
      <c r="B727" s="7">
        <v>45564</v>
      </c>
      <c r="C727" s="8" t="s">
        <v>75</v>
      </c>
      <c r="D727" s="2" t="s">
        <v>10</v>
      </c>
      <c r="E727" s="2" t="s">
        <v>23</v>
      </c>
      <c r="F727" s="2" t="s">
        <v>24</v>
      </c>
      <c r="G727" s="2" t="s">
        <v>25</v>
      </c>
      <c r="H727" s="2">
        <v>3</v>
      </c>
      <c r="I727" s="4">
        <v>7565</v>
      </c>
      <c r="J727" s="4">
        <v>5700</v>
      </c>
      <c r="K727" s="4">
        <f>Tablo1[[#This Row],[Quantity]]*Tablo1[[#This Row],[Unit_Price]]</f>
        <v>22695</v>
      </c>
      <c r="L727" s="4">
        <f>Tablo1[[#This Row],[Sales]]-(Tablo1[[#This Row],[Quantity]]*Tablo1[[#This Row],[Unit_Cost]])</f>
        <v>5595</v>
      </c>
    </row>
    <row r="728" spans="1:12" x14ac:dyDescent="0.3">
      <c r="A728" s="2">
        <v>1727</v>
      </c>
      <c r="B728" s="7">
        <v>45610</v>
      </c>
      <c r="C728" s="8" t="s">
        <v>74</v>
      </c>
      <c r="D728" s="2" t="s">
        <v>32</v>
      </c>
      <c r="E728" s="2" t="s">
        <v>30</v>
      </c>
      <c r="F728" s="2" t="s">
        <v>46</v>
      </c>
      <c r="G728" s="2" t="s">
        <v>17</v>
      </c>
      <c r="H728" s="2">
        <v>10</v>
      </c>
      <c r="I728" s="4">
        <v>7486</v>
      </c>
      <c r="J728" s="4">
        <v>4035</v>
      </c>
      <c r="K728" s="4">
        <f>Tablo1[[#This Row],[Quantity]]*Tablo1[[#This Row],[Unit_Price]]</f>
        <v>74860</v>
      </c>
      <c r="L728" s="4">
        <f>Tablo1[[#This Row],[Sales]]-(Tablo1[[#This Row],[Quantity]]*Tablo1[[#This Row],[Unit_Cost]])</f>
        <v>34510</v>
      </c>
    </row>
    <row r="729" spans="1:12" x14ac:dyDescent="0.3">
      <c r="A729" s="2">
        <v>1728</v>
      </c>
      <c r="B729" s="7">
        <v>45428</v>
      </c>
      <c r="C729" s="8" t="s">
        <v>73</v>
      </c>
      <c r="D729" s="2" t="s">
        <v>43</v>
      </c>
      <c r="E729" s="2" t="s">
        <v>23</v>
      </c>
      <c r="F729" s="2" t="s">
        <v>47</v>
      </c>
      <c r="G729" s="2" t="s">
        <v>25</v>
      </c>
      <c r="H729" s="2">
        <v>8</v>
      </c>
      <c r="I729" s="4">
        <v>1276</v>
      </c>
      <c r="J729" s="4">
        <v>877</v>
      </c>
      <c r="K729" s="4">
        <f>Tablo1[[#This Row],[Quantity]]*Tablo1[[#This Row],[Unit_Price]]</f>
        <v>10208</v>
      </c>
      <c r="L729" s="4">
        <f>Tablo1[[#This Row],[Sales]]-(Tablo1[[#This Row],[Quantity]]*Tablo1[[#This Row],[Unit_Cost]])</f>
        <v>3192</v>
      </c>
    </row>
    <row r="730" spans="1:12" x14ac:dyDescent="0.3">
      <c r="A730" s="2">
        <v>1729</v>
      </c>
      <c r="B730" s="7">
        <v>45311</v>
      </c>
      <c r="C730" s="8" t="s">
        <v>73</v>
      </c>
      <c r="D730" s="2" t="s">
        <v>32</v>
      </c>
      <c r="E730" s="2" t="s">
        <v>38</v>
      </c>
      <c r="F730" s="2" t="s">
        <v>50</v>
      </c>
      <c r="G730" s="2" t="s">
        <v>28</v>
      </c>
      <c r="H730" s="2">
        <v>9</v>
      </c>
      <c r="I730" s="4">
        <v>1733</v>
      </c>
      <c r="J730" s="4">
        <v>1383</v>
      </c>
      <c r="K730" s="4">
        <f>Tablo1[[#This Row],[Quantity]]*Tablo1[[#This Row],[Unit_Price]]</f>
        <v>15597</v>
      </c>
      <c r="L730" s="4">
        <f>Tablo1[[#This Row],[Sales]]-(Tablo1[[#This Row],[Quantity]]*Tablo1[[#This Row],[Unit_Cost]])</f>
        <v>3150</v>
      </c>
    </row>
    <row r="731" spans="1:12" x14ac:dyDescent="0.3">
      <c r="A731" s="2">
        <v>1730</v>
      </c>
      <c r="B731" s="7">
        <v>45308</v>
      </c>
      <c r="C731" s="8" t="s">
        <v>75</v>
      </c>
      <c r="D731" s="2" t="s">
        <v>41</v>
      </c>
      <c r="E731" s="2" t="s">
        <v>30</v>
      </c>
      <c r="F731" s="2" t="s">
        <v>16</v>
      </c>
      <c r="G731" s="2" t="s">
        <v>17</v>
      </c>
      <c r="H731" s="2">
        <v>1</v>
      </c>
      <c r="I731" s="4">
        <v>3481</v>
      </c>
      <c r="J731" s="4">
        <v>2088</v>
      </c>
      <c r="K731" s="4">
        <f>Tablo1[[#This Row],[Quantity]]*Tablo1[[#This Row],[Unit_Price]]</f>
        <v>3481</v>
      </c>
      <c r="L731" s="4">
        <f>Tablo1[[#This Row],[Sales]]-(Tablo1[[#This Row],[Quantity]]*Tablo1[[#This Row],[Unit_Cost]])</f>
        <v>1393</v>
      </c>
    </row>
    <row r="732" spans="1:12" x14ac:dyDescent="0.3">
      <c r="A732" s="2">
        <v>1731</v>
      </c>
      <c r="B732" s="7">
        <v>45628</v>
      </c>
      <c r="C732" s="8" t="s">
        <v>74</v>
      </c>
      <c r="D732" s="2" t="s">
        <v>13</v>
      </c>
      <c r="E732" s="2" t="s">
        <v>30</v>
      </c>
      <c r="F732" s="2" t="s">
        <v>29</v>
      </c>
      <c r="G732" s="2" t="s">
        <v>25</v>
      </c>
      <c r="H732" s="2">
        <v>6</v>
      </c>
      <c r="I732" s="4">
        <v>6156</v>
      </c>
      <c r="J732" s="4">
        <v>4698</v>
      </c>
      <c r="K732" s="4">
        <f>Tablo1[[#This Row],[Quantity]]*Tablo1[[#This Row],[Unit_Price]]</f>
        <v>36936</v>
      </c>
      <c r="L732" s="4">
        <f>Tablo1[[#This Row],[Sales]]-(Tablo1[[#This Row],[Quantity]]*Tablo1[[#This Row],[Unit_Cost]])</f>
        <v>8748</v>
      </c>
    </row>
    <row r="733" spans="1:12" x14ac:dyDescent="0.3">
      <c r="A733" s="2">
        <v>1732</v>
      </c>
      <c r="B733" s="7">
        <v>45564</v>
      </c>
      <c r="C733" s="8" t="s">
        <v>76</v>
      </c>
      <c r="D733" s="2" t="s">
        <v>13</v>
      </c>
      <c r="E733" s="2" t="s">
        <v>38</v>
      </c>
      <c r="F733" s="2" t="s">
        <v>45</v>
      </c>
      <c r="G733" s="2" t="s">
        <v>34</v>
      </c>
      <c r="H733" s="2">
        <v>5</v>
      </c>
      <c r="I733" s="4">
        <v>2571</v>
      </c>
      <c r="J733" s="4">
        <v>1832</v>
      </c>
      <c r="K733" s="4">
        <f>Tablo1[[#This Row],[Quantity]]*Tablo1[[#This Row],[Unit_Price]]</f>
        <v>12855</v>
      </c>
      <c r="L733" s="4">
        <f>Tablo1[[#This Row],[Sales]]-(Tablo1[[#This Row],[Quantity]]*Tablo1[[#This Row],[Unit_Cost]])</f>
        <v>3695</v>
      </c>
    </row>
    <row r="734" spans="1:12" x14ac:dyDescent="0.3">
      <c r="A734" s="2">
        <v>1733</v>
      </c>
      <c r="B734" s="7">
        <v>45604</v>
      </c>
      <c r="C734" s="8" t="s">
        <v>75</v>
      </c>
      <c r="D734" s="2" t="s">
        <v>19</v>
      </c>
      <c r="E734" s="2" t="s">
        <v>23</v>
      </c>
      <c r="F734" s="2" t="s">
        <v>36</v>
      </c>
      <c r="G734" s="2" t="s">
        <v>34</v>
      </c>
      <c r="H734" s="2">
        <v>3</v>
      </c>
      <c r="I734" s="4">
        <v>1912</v>
      </c>
      <c r="J734" s="4">
        <v>1127</v>
      </c>
      <c r="K734" s="4">
        <f>Tablo1[[#This Row],[Quantity]]*Tablo1[[#This Row],[Unit_Price]]</f>
        <v>5736</v>
      </c>
      <c r="L734" s="4">
        <f>Tablo1[[#This Row],[Sales]]-(Tablo1[[#This Row],[Quantity]]*Tablo1[[#This Row],[Unit_Cost]])</f>
        <v>2355</v>
      </c>
    </row>
    <row r="735" spans="1:12" x14ac:dyDescent="0.3">
      <c r="A735" s="2">
        <v>1734</v>
      </c>
      <c r="B735" s="7">
        <v>45475</v>
      </c>
      <c r="C735" s="8" t="s">
        <v>73</v>
      </c>
      <c r="D735" s="2" t="s">
        <v>22</v>
      </c>
      <c r="E735" s="2" t="s">
        <v>38</v>
      </c>
      <c r="F735" s="2" t="s">
        <v>16</v>
      </c>
      <c r="G735" s="2" t="s">
        <v>17</v>
      </c>
      <c r="H735" s="2">
        <v>5</v>
      </c>
      <c r="I735" s="4">
        <v>10859</v>
      </c>
      <c r="J735" s="4">
        <v>7644</v>
      </c>
      <c r="K735" s="4">
        <f>Tablo1[[#This Row],[Quantity]]*Tablo1[[#This Row],[Unit_Price]]</f>
        <v>54295</v>
      </c>
      <c r="L735" s="4">
        <f>Tablo1[[#This Row],[Sales]]-(Tablo1[[#This Row],[Quantity]]*Tablo1[[#This Row],[Unit_Cost]])</f>
        <v>16075</v>
      </c>
    </row>
    <row r="736" spans="1:12" x14ac:dyDescent="0.3">
      <c r="A736" s="2">
        <v>1735</v>
      </c>
      <c r="B736" s="7">
        <v>45299</v>
      </c>
      <c r="C736" s="8" t="s">
        <v>76</v>
      </c>
      <c r="D736" s="2" t="s">
        <v>22</v>
      </c>
      <c r="E736" s="2" t="s">
        <v>38</v>
      </c>
      <c r="F736" s="2" t="s">
        <v>11</v>
      </c>
      <c r="G736" s="2" t="s">
        <v>12</v>
      </c>
      <c r="H736" s="2">
        <v>4</v>
      </c>
      <c r="I736" s="4">
        <v>11491</v>
      </c>
      <c r="J736" s="4">
        <v>6805</v>
      </c>
      <c r="K736" s="4">
        <f>Tablo1[[#This Row],[Quantity]]*Tablo1[[#This Row],[Unit_Price]]</f>
        <v>45964</v>
      </c>
      <c r="L736" s="4">
        <f>Tablo1[[#This Row],[Sales]]-(Tablo1[[#This Row],[Quantity]]*Tablo1[[#This Row],[Unit_Cost]])</f>
        <v>18744</v>
      </c>
    </row>
    <row r="737" spans="1:12" x14ac:dyDescent="0.3">
      <c r="A737" s="2">
        <v>1736</v>
      </c>
      <c r="B737" s="7">
        <v>45422</v>
      </c>
      <c r="C737" s="8" t="s">
        <v>74</v>
      </c>
      <c r="D737" s="2" t="s">
        <v>10</v>
      </c>
      <c r="E737" s="2" t="s">
        <v>30</v>
      </c>
      <c r="F737" s="2" t="s">
        <v>50</v>
      </c>
      <c r="G737" s="2" t="s">
        <v>28</v>
      </c>
      <c r="H737" s="2">
        <v>2</v>
      </c>
      <c r="I737" s="4">
        <v>2372</v>
      </c>
      <c r="J737" s="4">
        <v>1215</v>
      </c>
      <c r="K737" s="4">
        <f>Tablo1[[#This Row],[Quantity]]*Tablo1[[#This Row],[Unit_Price]]</f>
        <v>4744</v>
      </c>
      <c r="L737" s="4">
        <f>Tablo1[[#This Row],[Sales]]-(Tablo1[[#This Row],[Quantity]]*Tablo1[[#This Row],[Unit_Cost]])</f>
        <v>2314</v>
      </c>
    </row>
    <row r="738" spans="1:12" x14ac:dyDescent="0.3">
      <c r="A738" s="2">
        <v>1737</v>
      </c>
      <c r="B738" s="7">
        <v>45506</v>
      </c>
      <c r="C738" s="8" t="s">
        <v>77</v>
      </c>
      <c r="D738" s="2" t="s">
        <v>35</v>
      </c>
      <c r="E738" s="2" t="s">
        <v>30</v>
      </c>
      <c r="F738" s="2" t="s">
        <v>11</v>
      </c>
      <c r="G738" s="2" t="s">
        <v>12</v>
      </c>
      <c r="H738" s="2">
        <v>10</v>
      </c>
      <c r="I738" s="4">
        <v>13276</v>
      </c>
      <c r="J738" s="4">
        <v>10216</v>
      </c>
      <c r="K738" s="4">
        <f>Tablo1[[#This Row],[Quantity]]*Tablo1[[#This Row],[Unit_Price]]</f>
        <v>132760</v>
      </c>
      <c r="L738" s="4">
        <f>Tablo1[[#This Row],[Sales]]-(Tablo1[[#This Row],[Quantity]]*Tablo1[[#This Row],[Unit_Cost]])</f>
        <v>30600</v>
      </c>
    </row>
    <row r="739" spans="1:12" x14ac:dyDescent="0.3">
      <c r="A739" s="2">
        <v>1738</v>
      </c>
      <c r="B739" s="7">
        <v>45382</v>
      </c>
      <c r="C739" s="8" t="s">
        <v>75</v>
      </c>
      <c r="D739" s="2" t="s">
        <v>35</v>
      </c>
      <c r="E739" s="2" t="s">
        <v>26</v>
      </c>
      <c r="F739" s="2" t="s">
        <v>50</v>
      </c>
      <c r="G739" s="2" t="s">
        <v>28</v>
      </c>
      <c r="H739" s="2">
        <v>6</v>
      </c>
      <c r="I739" s="4">
        <v>2177</v>
      </c>
      <c r="J739" s="4">
        <v>1562</v>
      </c>
      <c r="K739" s="4">
        <f>Tablo1[[#This Row],[Quantity]]*Tablo1[[#This Row],[Unit_Price]]</f>
        <v>13062</v>
      </c>
      <c r="L739" s="4">
        <f>Tablo1[[#This Row],[Sales]]-(Tablo1[[#This Row],[Quantity]]*Tablo1[[#This Row],[Unit_Cost]])</f>
        <v>3690</v>
      </c>
    </row>
    <row r="740" spans="1:12" x14ac:dyDescent="0.3">
      <c r="A740" s="2">
        <v>1739</v>
      </c>
      <c r="B740" s="7">
        <v>45402</v>
      </c>
      <c r="C740" s="8" t="s">
        <v>76</v>
      </c>
      <c r="D740" s="2" t="s">
        <v>13</v>
      </c>
      <c r="E740" s="2" t="s">
        <v>30</v>
      </c>
      <c r="F740" s="2" t="s">
        <v>47</v>
      </c>
      <c r="G740" s="2" t="s">
        <v>25</v>
      </c>
      <c r="H740" s="2">
        <v>3</v>
      </c>
      <c r="I740" s="4">
        <v>5957</v>
      </c>
      <c r="J740" s="4">
        <v>4752</v>
      </c>
      <c r="K740" s="4">
        <f>Tablo1[[#This Row],[Quantity]]*Tablo1[[#This Row],[Unit_Price]]</f>
        <v>17871</v>
      </c>
      <c r="L740" s="4">
        <f>Tablo1[[#This Row],[Sales]]-(Tablo1[[#This Row],[Quantity]]*Tablo1[[#This Row],[Unit_Cost]])</f>
        <v>3615</v>
      </c>
    </row>
    <row r="741" spans="1:12" x14ac:dyDescent="0.3">
      <c r="A741" s="2">
        <v>1740</v>
      </c>
      <c r="B741" s="7">
        <v>45302</v>
      </c>
      <c r="C741" s="8" t="s">
        <v>75</v>
      </c>
      <c r="D741" s="2" t="s">
        <v>43</v>
      </c>
      <c r="E741" s="2" t="s">
        <v>30</v>
      </c>
      <c r="F741" s="2" t="s">
        <v>24</v>
      </c>
      <c r="G741" s="2" t="s">
        <v>25</v>
      </c>
      <c r="H741" s="2">
        <v>7</v>
      </c>
      <c r="I741" s="4">
        <v>7527</v>
      </c>
      <c r="J741" s="4">
        <v>5623</v>
      </c>
      <c r="K741" s="4">
        <f>Tablo1[[#This Row],[Quantity]]*Tablo1[[#This Row],[Unit_Price]]</f>
        <v>52689</v>
      </c>
      <c r="L741" s="4">
        <f>Tablo1[[#This Row],[Sales]]-(Tablo1[[#This Row],[Quantity]]*Tablo1[[#This Row],[Unit_Cost]])</f>
        <v>13328</v>
      </c>
    </row>
    <row r="742" spans="1:12" x14ac:dyDescent="0.3">
      <c r="A742" s="2">
        <v>1741</v>
      </c>
      <c r="B742" s="7">
        <v>45380</v>
      </c>
      <c r="C742" s="8" t="s">
        <v>74</v>
      </c>
      <c r="D742" s="2" t="s">
        <v>43</v>
      </c>
      <c r="E742" s="2" t="s">
        <v>23</v>
      </c>
      <c r="F742" s="2" t="s">
        <v>47</v>
      </c>
      <c r="G742" s="2" t="s">
        <v>25</v>
      </c>
      <c r="H742" s="2">
        <v>7</v>
      </c>
      <c r="I742" s="4">
        <v>7588</v>
      </c>
      <c r="J742" s="4">
        <v>4067</v>
      </c>
      <c r="K742" s="4">
        <f>Tablo1[[#This Row],[Quantity]]*Tablo1[[#This Row],[Unit_Price]]</f>
        <v>53116</v>
      </c>
      <c r="L742" s="4">
        <f>Tablo1[[#This Row],[Sales]]-(Tablo1[[#This Row],[Quantity]]*Tablo1[[#This Row],[Unit_Cost]])</f>
        <v>24647</v>
      </c>
    </row>
    <row r="743" spans="1:12" x14ac:dyDescent="0.3">
      <c r="A743" s="2">
        <v>1742</v>
      </c>
      <c r="B743" s="7">
        <v>45529</v>
      </c>
      <c r="C743" s="8" t="s">
        <v>73</v>
      </c>
      <c r="D743" s="2" t="s">
        <v>15</v>
      </c>
      <c r="E743" s="2" t="s">
        <v>26</v>
      </c>
      <c r="F743" s="2" t="s">
        <v>16</v>
      </c>
      <c r="G743" s="2" t="s">
        <v>17</v>
      </c>
      <c r="H743" s="2">
        <v>6</v>
      </c>
      <c r="I743" s="4">
        <v>2678</v>
      </c>
      <c r="J743" s="4">
        <v>1889</v>
      </c>
      <c r="K743" s="4">
        <f>Tablo1[[#This Row],[Quantity]]*Tablo1[[#This Row],[Unit_Price]]</f>
        <v>16068</v>
      </c>
      <c r="L743" s="4">
        <f>Tablo1[[#This Row],[Sales]]-(Tablo1[[#This Row],[Quantity]]*Tablo1[[#This Row],[Unit_Cost]])</f>
        <v>4734</v>
      </c>
    </row>
    <row r="744" spans="1:12" x14ac:dyDescent="0.3">
      <c r="A744" s="2">
        <v>1743</v>
      </c>
      <c r="B744" s="7">
        <v>45397</v>
      </c>
      <c r="C744" s="8" t="s">
        <v>73</v>
      </c>
      <c r="D744" s="2" t="s">
        <v>19</v>
      </c>
      <c r="E744" s="2" t="s">
        <v>20</v>
      </c>
      <c r="F744" s="2" t="s">
        <v>50</v>
      </c>
      <c r="G744" s="2" t="s">
        <v>28</v>
      </c>
      <c r="H744" s="2">
        <v>8</v>
      </c>
      <c r="I744" s="4">
        <v>3291</v>
      </c>
      <c r="J744" s="4">
        <v>2016</v>
      </c>
      <c r="K744" s="4">
        <f>Tablo1[[#This Row],[Quantity]]*Tablo1[[#This Row],[Unit_Price]]</f>
        <v>26328</v>
      </c>
      <c r="L744" s="4">
        <f>Tablo1[[#This Row],[Sales]]-(Tablo1[[#This Row],[Quantity]]*Tablo1[[#This Row],[Unit_Cost]])</f>
        <v>10200</v>
      </c>
    </row>
    <row r="745" spans="1:12" x14ac:dyDescent="0.3">
      <c r="A745" s="2">
        <v>1744</v>
      </c>
      <c r="B745" s="7">
        <v>45541</v>
      </c>
      <c r="C745" s="8" t="s">
        <v>75</v>
      </c>
      <c r="D745" s="2" t="s">
        <v>19</v>
      </c>
      <c r="E745" s="2" t="s">
        <v>23</v>
      </c>
      <c r="F745" s="2" t="s">
        <v>16</v>
      </c>
      <c r="G745" s="2" t="s">
        <v>17</v>
      </c>
      <c r="H745" s="2">
        <v>10</v>
      </c>
      <c r="I745" s="4">
        <v>8511</v>
      </c>
      <c r="J745" s="4">
        <v>5078</v>
      </c>
      <c r="K745" s="4">
        <f>Tablo1[[#This Row],[Quantity]]*Tablo1[[#This Row],[Unit_Price]]</f>
        <v>85110</v>
      </c>
      <c r="L745" s="4">
        <f>Tablo1[[#This Row],[Sales]]-(Tablo1[[#This Row],[Quantity]]*Tablo1[[#This Row],[Unit_Cost]])</f>
        <v>34330</v>
      </c>
    </row>
    <row r="746" spans="1:12" x14ac:dyDescent="0.3">
      <c r="A746" s="2">
        <v>1745</v>
      </c>
      <c r="B746" s="7">
        <v>45389</v>
      </c>
      <c r="C746" s="8" t="s">
        <v>74</v>
      </c>
      <c r="D746" s="2" t="s">
        <v>41</v>
      </c>
      <c r="E746" s="2" t="s">
        <v>26</v>
      </c>
      <c r="F746" s="2" t="s">
        <v>31</v>
      </c>
      <c r="G746" s="2" t="s">
        <v>17</v>
      </c>
      <c r="H746" s="2">
        <v>6</v>
      </c>
      <c r="I746" s="4">
        <v>11081</v>
      </c>
      <c r="J746" s="4">
        <v>6577</v>
      </c>
      <c r="K746" s="4">
        <f>Tablo1[[#This Row],[Quantity]]*Tablo1[[#This Row],[Unit_Price]]</f>
        <v>66486</v>
      </c>
      <c r="L746" s="4">
        <f>Tablo1[[#This Row],[Sales]]-(Tablo1[[#This Row],[Quantity]]*Tablo1[[#This Row],[Unit_Cost]])</f>
        <v>27024</v>
      </c>
    </row>
    <row r="747" spans="1:12" x14ac:dyDescent="0.3">
      <c r="A747" s="2">
        <v>1746</v>
      </c>
      <c r="B747" s="7">
        <v>45522</v>
      </c>
      <c r="C747" s="8" t="s">
        <v>76</v>
      </c>
      <c r="D747" s="2" t="s">
        <v>44</v>
      </c>
      <c r="E747" s="2" t="s">
        <v>30</v>
      </c>
      <c r="F747" s="2" t="s">
        <v>45</v>
      </c>
      <c r="G747" s="2" t="s">
        <v>34</v>
      </c>
      <c r="H747" s="2">
        <v>2</v>
      </c>
      <c r="I747" s="4">
        <v>3468</v>
      </c>
      <c r="J747" s="4">
        <v>1782</v>
      </c>
      <c r="K747" s="4">
        <f>Tablo1[[#This Row],[Quantity]]*Tablo1[[#This Row],[Unit_Price]]</f>
        <v>6936</v>
      </c>
      <c r="L747" s="4">
        <f>Tablo1[[#This Row],[Sales]]-(Tablo1[[#This Row],[Quantity]]*Tablo1[[#This Row],[Unit_Cost]])</f>
        <v>3372</v>
      </c>
    </row>
    <row r="748" spans="1:12" x14ac:dyDescent="0.3">
      <c r="A748" s="2">
        <v>1747</v>
      </c>
      <c r="B748" s="7">
        <v>45477</v>
      </c>
      <c r="C748" s="8" t="s">
        <v>75</v>
      </c>
      <c r="D748" s="2" t="s">
        <v>13</v>
      </c>
      <c r="E748" s="2" t="s">
        <v>23</v>
      </c>
      <c r="F748" s="2" t="s">
        <v>47</v>
      </c>
      <c r="G748" s="2" t="s">
        <v>25</v>
      </c>
      <c r="H748" s="2">
        <v>9</v>
      </c>
      <c r="I748" s="4">
        <v>5740</v>
      </c>
      <c r="J748" s="4">
        <v>2880</v>
      </c>
      <c r="K748" s="4">
        <f>Tablo1[[#This Row],[Quantity]]*Tablo1[[#This Row],[Unit_Price]]</f>
        <v>51660</v>
      </c>
      <c r="L748" s="4">
        <f>Tablo1[[#This Row],[Sales]]-(Tablo1[[#This Row],[Quantity]]*Tablo1[[#This Row],[Unit_Cost]])</f>
        <v>25740</v>
      </c>
    </row>
    <row r="749" spans="1:12" x14ac:dyDescent="0.3">
      <c r="A749" s="2">
        <v>1748</v>
      </c>
      <c r="B749" s="7">
        <v>45462</v>
      </c>
      <c r="C749" s="8" t="s">
        <v>73</v>
      </c>
      <c r="D749" s="2" t="s">
        <v>10</v>
      </c>
      <c r="E749" s="2" t="s">
        <v>38</v>
      </c>
      <c r="F749" s="2" t="s">
        <v>11</v>
      </c>
      <c r="G749" s="2" t="s">
        <v>12</v>
      </c>
      <c r="H749" s="2">
        <v>2</v>
      </c>
      <c r="I749" s="4">
        <v>13944</v>
      </c>
      <c r="J749" s="4">
        <v>7171</v>
      </c>
      <c r="K749" s="4">
        <f>Tablo1[[#This Row],[Quantity]]*Tablo1[[#This Row],[Unit_Price]]</f>
        <v>27888</v>
      </c>
      <c r="L749" s="4">
        <f>Tablo1[[#This Row],[Sales]]-(Tablo1[[#This Row],[Quantity]]*Tablo1[[#This Row],[Unit_Cost]])</f>
        <v>13546</v>
      </c>
    </row>
    <row r="750" spans="1:12" x14ac:dyDescent="0.3">
      <c r="A750" s="2">
        <v>1749</v>
      </c>
      <c r="B750" s="7">
        <v>45570</v>
      </c>
      <c r="C750" s="8" t="s">
        <v>76</v>
      </c>
      <c r="D750" s="2" t="s">
        <v>41</v>
      </c>
      <c r="E750" s="2" t="s">
        <v>30</v>
      </c>
      <c r="F750" s="2" t="s">
        <v>16</v>
      </c>
      <c r="G750" s="2" t="s">
        <v>17</v>
      </c>
      <c r="H750" s="2">
        <v>1</v>
      </c>
      <c r="I750" s="4">
        <v>3838</v>
      </c>
      <c r="J750" s="4">
        <v>2200</v>
      </c>
      <c r="K750" s="4">
        <f>Tablo1[[#This Row],[Quantity]]*Tablo1[[#This Row],[Unit_Price]]</f>
        <v>3838</v>
      </c>
      <c r="L750" s="4">
        <f>Tablo1[[#This Row],[Sales]]-(Tablo1[[#This Row],[Quantity]]*Tablo1[[#This Row],[Unit_Cost]])</f>
        <v>1638</v>
      </c>
    </row>
    <row r="751" spans="1:12" x14ac:dyDescent="0.3">
      <c r="A751" s="2">
        <v>1750</v>
      </c>
      <c r="B751" s="7">
        <v>45600</v>
      </c>
      <c r="C751" s="8" t="s">
        <v>74</v>
      </c>
      <c r="D751" s="2" t="s">
        <v>19</v>
      </c>
      <c r="E751" s="2" t="s">
        <v>38</v>
      </c>
      <c r="F751" s="2" t="s">
        <v>24</v>
      </c>
      <c r="G751" s="2" t="s">
        <v>25</v>
      </c>
      <c r="H751" s="2">
        <v>3</v>
      </c>
      <c r="I751" s="4">
        <v>7551</v>
      </c>
      <c r="J751" s="4">
        <v>5199</v>
      </c>
      <c r="K751" s="4">
        <f>Tablo1[[#This Row],[Quantity]]*Tablo1[[#This Row],[Unit_Price]]</f>
        <v>22653</v>
      </c>
      <c r="L751" s="4">
        <f>Tablo1[[#This Row],[Sales]]-(Tablo1[[#This Row],[Quantity]]*Tablo1[[#This Row],[Unit_Cost]])</f>
        <v>7056</v>
      </c>
    </row>
    <row r="752" spans="1:12" x14ac:dyDescent="0.3">
      <c r="A752" s="2">
        <v>1751</v>
      </c>
      <c r="B752" s="7">
        <v>45347</v>
      </c>
      <c r="C752" s="8" t="s">
        <v>77</v>
      </c>
      <c r="D752" s="2" t="s">
        <v>41</v>
      </c>
      <c r="E752" s="2" t="s">
        <v>26</v>
      </c>
      <c r="F752" s="2" t="s">
        <v>50</v>
      </c>
      <c r="G752" s="2" t="s">
        <v>28</v>
      </c>
      <c r="H752" s="2">
        <v>5</v>
      </c>
      <c r="I752" s="4">
        <v>919</v>
      </c>
      <c r="J752" s="4">
        <v>507</v>
      </c>
      <c r="K752" s="4">
        <f>Tablo1[[#This Row],[Quantity]]*Tablo1[[#This Row],[Unit_Price]]</f>
        <v>4595</v>
      </c>
      <c r="L752" s="4">
        <f>Tablo1[[#This Row],[Sales]]-(Tablo1[[#This Row],[Quantity]]*Tablo1[[#This Row],[Unit_Cost]])</f>
        <v>2060</v>
      </c>
    </row>
    <row r="753" spans="1:12" x14ac:dyDescent="0.3">
      <c r="A753" s="2">
        <v>1752</v>
      </c>
      <c r="B753" s="7">
        <v>45359</v>
      </c>
      <c r="C753" s="8" t="s">
        <v>75</v>
      </c>
      <c r="D753" s="2" t="s">
        <v>15</v>
      </c>
      <c r="E753" s="2" t="s">
        <v>38</v>
      </c>
      <c r="F753" s="2" t="s">
        <v>33</v>
      </c>
      <c r="G753" s="2" t="s">
        <v>34</v>
      </c>
      <c r="H753" s="2">
        <v>7</v>
      </c>
      <c r="I753" s="4">
        <v>6606</v>
      </c>
      <c r="J753" s="4">
        <v>3796</v>
      </c>
      <c r="K753" s="4">
        <f>Tablo1[[#This Row],[Quantity]]*Tablo1[[#This Row],[Unit_Price]]</f>
        <v>46242</v>
      </c>
      <c r="L753" s="4">
        <f>Tablo1[[#This Row],[Sales]]-(Tablo1[[#This Row],[Quantity]]*Tablo1[[#This Row],[Unit_Cost]])</f>
        <v>19670</v>
      </c>
    </row>
    <row r="754" spans="1:12" x14ac:dyDescent="0.3">
      <c r="A754" s="2">
        <v>1753</v>
      </c>
      <c r="B754" s="7">
        <v>45364</v>
      </c>
      <c r="C754" s="8" t="s">
        <v>76</v>
      </c>
      <c r="D754" s="2" t="s">
        <v>10</v>
      </c>
      <c r="E754" s="2" t="s">
        <v>26</v>
      </c>
      <c r="F754" s="2" t="s">
        <v>16</v>
      </c>
      <c r="G754" s="2" t="s">
        <v>17</v>
      </c>
      <c r="H754" s="2">
        <v>6</v>
      </c>
      <c r="I754" s="4">
        <v>2456</v>
      </c>
      <c r="J754" s="4">
        <v>1594</v>
      </c>
      <c r="K754" s="4">
        <f>Tablo1[[#This Row],[Quantity]]*Tablo1[[#This Row],[Unit_Price]]</f>
        <v>14736</v>
      </c>
      <c r="L754" s="4">
        <f>Tablo1[[#This Row],[Sales]]-(Tablo1[[#This Row],[Quantity]]*Tablo1[[#This Row],[Unit_Cost]])</f>
        <v>5172</v>
      </c>
    </row>
    <row r="755" spans="1:12" x14ac:dyDescent="0.3">
      <c r="A755" s="2">
        <v>1754</v>
      </c>
      <c r="B755" s="7">
        <v>45500</v>
      </c>
      <c r="C755" s="8" t="s">
        <v>75</v>
      </c>
      <c r="D755" s="2" t="s">
        <v>32</v>
      </c>
      <c r="E755" s="2" t="s">
        <v>26</v>
      </c>
      <c r="F755" s="2" t="s">
        <v>21</v>
      </c>
      <c r="G755" s="2" t="s">
        <v>17</v>
      </c>
      <c r="H755" s="2">
        <v>3</v>
      </c>
      <c r="I755" s="4">
        <v>3980</v>
      </c>
      <c r="J755" s="4">
        <v>2451</v>
      </c>
      <c r="K755" s="4">
        <f>Tablo1[[#This Row],[Quantity]]*Tablo1[[#This Row],[Unit_Price]]</f>
        <v>11940</v>
      </c>
      <c r="L755" s="4">
        <f>Tablo1[[#This Row],[Sales]]-(Tablo1[[#This Row],[Quantity]]*Tablo1[[#This Row],[Unit_Cost]])</f>
        <v>4587</v>
      </c>
    </row>
    <row r="756" spans="1:12" x14ac:dyDescent="0.3">
      <c r="A756" s="2">
        <v>1755</v>
      </c>
      <c r="B756" s="7">
        <v>45331</v>
      </c>
      <c r="C756" s="8" t="s">
        <v>74</v>
      </c>
      <c r="D756" s="2" t="s">
        <v>15</v>
      </c>
      <c r="E756" s="2" t="s">
        <v>20</v>
      </c>
      <c r="F756" s="2" t="s">
        <v>45</v>
      </c>
      <c r="G756" s="2" t="s">
        <v>34</v>
      </c>
      <c r="H756" s="2">
        <v>5</v>
      </c>
      <c r="I756" s="4">
        <v>2050</v>
      </c>
      <c r="J756" s="4">
        <v>1176</v>
      </c>
      <c r="K756" s="4">
        <f>Tablo1[[#This Row],[Quantity]]*Tablo1[[#This Row],[Unit_Price]]</f>
        <v>10250</v>
      </c>
      <c r="L756" s="4">
        <f>Tablo1[[#This Row],[Sales]]-(Tablo1[[#This Row],[Quantity]]*Tablo1[[#This Row],[Unit_Cost]])</f>
        <v>4370</v>
      </c>
    </row>
    <row r="757" spans="1:12" x14ac:dyDescent="0.3">
      <c r="A757" s="2">
        <v>1756</v>
      </c>
      <c r="B757" s="7">
        <v>45410</v>
      </c>
      <c r="C757" s="8" t="s">
        <v>73</v>
      </c>
      <c r="D757" s="2" t="s">
        <v>32</v>
      </c>
      <c r="E757" s="2" t="s">
        <v>38</v>
      </c>
      <c r="F757" s="2" t="s">
        <v>36</v>
      </c>
      <c r="G757" s="2" t="s">
        <v>34</v>
      </c>
      <c r="H757" s="2">
        <v>7</v>
      </c>
      <c r="I757" s="4">
        <v>3637</v>
      </c>
      <c r="J757" s="4">
        <v>2578</v>
      </c>
      <c r="K757" s="4">
        <f>Tablo1[[#This Row],[Quantity]]*Tablo1[[#This Row],[Unit_Price]]</f>
        <v>25459</v>
      </c>
      <c r="L757" s="4">
        <f>Tablo1[[#This Row],[Sales]]-(Tablo1[[#This Row],[Quantity]]*Tablo1[[#This Row],[Unit_Cost]])</f>
        <v>7413</v>
      </c>
    </row>
    <row r="758" spans="1:12" x14ac:dyDescent="0.3">
      <c r="A758" s="2">
        <v>1757</v>
      </c>
      <c r="B758" s="7">
        <v>45406</v>
      </c>
      <c r="C758" s="8" t="s">
        <v>73</v>
      </c>
      <c r="D758" s="2" t="s">
        <v>44</v>
      </c>
      <c r="E758" s="2" t="s">
        <v>38</v>
      </c>
      <c r="F758" s="2" t="s">
        <v>39</v>
      </c>
      <c r="G758" s="2" t="s">
        <v>28</v>
      </c>
      <c r="H758" s="2">
        <v>10</v>
      </c>
      <c r="I758" s="4">
        <v>2709</v>
      </c>
      <c r="J758" s="4">
        <v>2141</v>
      </c>
      <c r="K758" s="4">
        <f>Tablo1[[#This Row],[Quantity]]*Tablo1[[#This Row],[Unit_Price]]</f>
        <v>27090</v>
      </c>
      <c r="L758" s="4">
        <f>Tablo1[[#This Row],[Sales]]-(Tablo1[[#This Row],[Quantity]]*Tablo1[[#This Row],[Unit_Cost]])</f>
        <v>5680</v>
      </c>
    </row>
    <row r="759" spans="1:12" x14ac:dyDescent="0.3">
      <c r="A759" s="2">
        <v>1758</v>
      </c>
      <c r="B759" s="7">
        <v>45521</v>
      </c>
      <c r="C759" s="8" t="s">
        <v>75</v>
      </c>
      <c r="D759" s="2" t="s">
        <v>19</v>
      </c>
      <c r="E759" s="2" t="s">
        <v>23</v>
      </c>
      <c r="F759" s="2" t="s">
        <v>36</v>
      </c>
      <c r="G759" s="2" t="s">
        <v>34</v>
      </c>
      <c r="H759" s="2">
        <v>10</v>
      </c>
      <c r="I759" s="4">
        <v>4125</v>
      </c>
      <c r="J759" s="4">
        <v>2552</v>
      </c>
      <c r="K759" s="4">
        <f>Tablo1[[#This Row],[Quantity]]*Tablo1[[#This Row],[Unit_Price]]</f>
        <v>41250</v>
      </c>
      <c r="L759" s="4">
        <f>Tablo1[[#This Row],[Sales]]-(Tablo1[[#This Row],[Quantity]]*Tablo1[[#This Row],[Unit_Cost]])</f>
        <v>15730</v>
      </c>
    </row>
    <row r="760" spans="1:12" x14ac:dyDescent="0.3">
      <c r="A760" s="2">
        <v>1759</v>
      </c>
      <c r="B760" s="7">
        <v>45299</v>
      </c>
      <c r="C760" s="8" t="s">
        <v>74</v>
      </c>
      <c r="D760" s="2" t="s">
        <v>35</v>
      </c>
      <c r="E760" s="2" t="s">
        <v>23</v>
      </c>
      <c r="F760" s="2" t="s">
        <v>21</v>
      </c>
      <c r="G760" s="2" t="s">
        <v>17</v>
      </c>
      <c r="H760" s="2">
        <v>8</v>
      </c>
      <c r="I760" s="4">
        <v>5804</v>
      </c>
      <c r="J760" s="4">
        <v>2964</v>
      </c>
      <c r="K760" s="4">
        <f>Tablo1[[#This Row],[Quantity]]*Tablo1[[#This Row],[Unit_Price]]</f>
        <v>46432</v>
      </c>
      <c r="L760" s="4">
        <f>Tablo1[[#This Row],[Sales]]-(Tablo1[[#This Row],[Quantity]]*Tablo1[[#This Row],[Unit_Cost]])</f>
        <v>22720</v>
      </c>
    </row>
    <row r="761" spans="1:12" x14ac:dyDescent="0.3">
      <c r="A761" s="2">
        <v>1760</v>
      </c>
      <c r="B761" s="7">
        <v>45490</v>
      </c>
      <c r="C761" s="8" t="s">
        <v>76</v>
      </c>
      <c r="D761" s="2" t="s">
        <v>44</v>
      </c>
      <c r="E761" s="2" t="s">
        <v>23</v>
      </c>
      <c r="F761" s="2" t="s">
        <v>49</v>
      </c>
      <c r="G761" s="2" t="s">
        <v>12</v>
      </c>
      <c r="H761" s="2">
        <v>7</v>
      </c>
      <c r="I761" s="4">
        <v>14534</v>
      </c>
      <c r="J761" s="4">
        <v>9646</v>
      </c>
      <c r="K761" s="4">
        <f>Tablo1[[#This Row],[Quantity]]*Tablo1[[#This Row],[Unit_Price]]</f>
        <v>101738</v>
      </c>
      <c r="L761" s="4">
        <f>Tablo1[[#This Row],[Sales]]-(Tablo1[[#This Row],[Quantity]]*Tablo1[[#This Row],[Unit_Cost]])</f>
        <v>34216</v>
      </c>
    </row>
    <row r="762" spans="1:12" x14ac:dyDescent="0.3">
      <c r="A762" s="2">
        <v>1761</v>
      </c>
      <c r="B762" s="7">
        <v>45598</v>
      </c>
      <c r="C762" s="8" t="s">
        <v>75</v>
      </c>
      <c r="D762" s="2" t="s">
        <v>43</v>
      </c>
      <c r="E762" s="2" t="s">
        <v>38</v>
      </c>
      <c r="F762" s="2" t="s">
        <v>50</v>
      </c>
      <c r="G762" s="2" t="s">
        <v>28</v>
      </c>
      <c r="H762" s="2">
        <v>4</v>
      </c>
      <c r="I762" s="4">
        <v>2607</v>
      </c>
      <c r="J762" s="4">
        <v>1805</v>
      </c>
      <c r="K762" s="4">
        <f>Tablo1[[#This Row],[Quantity]]*Tablo1[[#This Row],[Unit_Price]]</f>
        <v>10428</v>
      </c>
      <c r="L762" s="4">
        <f>Tablo1[[#This Row],[Sales]]-(Tablo1[[#This Row],[Quantity]]*Tablo1[[#This Row],[Unit_Cost]])</f>
        <v>3208</v>
      </c>
    </row>
    <row r="763" spans="1:12" x14ac:dyDescent="0.3">
      <c r="A763" s="2">
        <v>1762</v>
      </c>
      <c r="B763" s="7">
        <v>45330</v>
      </c>
      <c r="C763" s="8" t="s">
        <v>73</v>
      </c>
      <c r="D763" s="2" t="s">
        <v>35</v>
      </c>
      <c r="E763" s="2" t="s">
        <v>30</v>
      </c>
      <c r="F763" s="2" t="s">
        <v>33</v>
      </c>
      <c r="G763" s="2" t="s">
        <v>34</v>
      </c>
      <c r="H763" s="2">
        <v>4</v>
      </c>
      <c r="I763" s="4">
        <v>3534</v>
      </c>
      <c r="J763" s="4">
        <v>2464</v>
      </c>
      <c r="K763" s="4">
        <f>Tablo1[[#This Row],[Quantity]]*Tablo1[[#This Row],[Unit_Price]]</f>
        <v>14136</v>
      </c>
      <c r="L763" s="4">
        <f>Tablo1[[#This Row],[Sales]]-(Tablo1[[#This Row],[Quantity]]*Tablo1[[#This Row],[Unit_Cost]])</f>
        <v>4280</v>
      </c>
    </row>
    <row r="764" spans="1:12" x14ac:dyDescent="0.3">
      <c r="A764" s="2">
        <v>1763</v>
      </c>
      <c r="B764" s="7">
        <v>45405</v>
      </c>
      <c r="C764" s="8" t="s">
        <v>76</v>
      </c>
      <c r="D764" s="2" t="s">
        <v>43</v>
      </c>
      <c r="E764" s="2" t="s">
        <v>30</v>
      </c>
      <c r="F764" s="2" t="s">
        <v>14</v>
      </c>
      <c r="G764" s="2" t="s">
        <v>12</v>
      </c>
      <c r="H764" s="2">
        <v>1</v>
      </c>
      <c r="I764" s="4">
        <v>14191</v>
      </c>
      <c r="J764" s="4">
        <v>8226</v>
      </c>
      <c r="K764" s="4">
        <f>Tablo1[[#This Row],[Quantity]]*Tablo1[[#This Row],[Unit_Price]]</f>
        <v>14191</v>
      </c>
      <c r="L764" s="4">
        <f>Tablo1[[#This Row],[Sales]]-(Tablo1[[#This Row],[Quantity]]*Tablo1[[#This Row],[Unit_Cost]])</f>
        <v>5965</v>
      </c>
    </row>
    <row r="765" spans="1:12" x14ac:dyDescent="0.3">
      <c r="A765" s="2">
        <v>1764</v>
      </c>
      <c r="B765" s="7">
        <v>45584</v>
      </c>
      <c r="C765" s="8" t="s">
        <v>74</v>
      </c>
      <c r="D765" s="2" t="s">
        <v>13</v>
      </c>
      <c r="E765" s="2" t="s">
        <v>38</v>
      </c>
      <c r="F765" s="2" t="s">
        <v>49</v>
      </c>
      <c r="G765" s="2" t="s">
        <v>12</v>
      </c>
      <c r="H765" s="2">
        <v>9</v>
      </c>
      <c r="I765" s="4">
        <v>11312</v>
      </c>
      <c r="J765" s="4">
        <v>6598</v>
      </c>
      <c r="K765" s="4">
        <f>Tablo1[[#This Row],[Quantity]]*Tablo1[[#This Row],[Unit_Price]]</f>
        <v>101808</v>
      </c>
      <c r="L765" s="4">
        <f>Tablo1[[#This Row],[Sales]]-(Tablo1[[#This Row],[Quantity]]*Tablo1[[#This Row],[Unit_Cost]])</f>
        <v>42426</v>
      </c>
    </row>
    <row r="766" spans="1:12" x14ac:dyDescent="0.3">
      <c r="A766" s="2">
        <v>1765</v>
      </c>
      <c r="B766" s="7">
        <v>45579</v>
      </c>
      <c r="C766" s="8" t="s">
        <v>77</v>
      </c>
      <c r="D766" s="2" t="s">
        <v>41</v>
      </c>
      <c r="E766" s="2" t="s">
        <v>38</v>
      </c>
      <c r="F766" s="2" t="s">
        <v>46</v>
      </c>
      <c r="G766" s="2" t="s">
        <v>17</v>
      </c>
      <c r="H766" s="2">
        <v>4</v>
      </c>
      <c r="I766" s="4">
        <v>3386</v>
      </c>
      <c r="J766" s="4">
        <v>2303</v>
      </c>
      <c r="K766" s="4">
        <f>Tablo1[[#This Row],[Quantity]]*Tablo1[[#This Row],[Unit_Price]]</f>
        <v>13544</v>
      </c>
      <c r="L766" s="4">
        <f>Tablo1[[#This Row],[Sales]]-(Tablo1[[#This Row],[Quantity]]*Tablo1[[#This Row],[Unit_Cost]])</f>
        <v>4332</v>
      </c>
    </row>
    <row r="767" spans="1:12" x14ac:dyDescent="0.3">
      <c r="A767" s="2">
        <v>1766</v>
      </c>
      <c r="B767" s="7">
        <v>45643</v>
      </c>
      <c r="C767" s="8" t="s">
        <v>75</v>
      </c>
      <c r="D767" s="2" t="s">
        <v>32</v>
      </c>
      <c r="E767" s="2" t="s">
        <v>26</v>
      </c>
      <c r="F767" s="2" t="s">
        <v>11</v>
      </c>
      <c r="G767" s="2" t="s">
        <v>12</v>
      </c>
      <c r="H767" s="2">
        <v>3</v>
      </c>
      <c r="I767" s="4">
        <v>17970</v>
      </c>
      <c r="J767" s="4">
        <v>10677</v>
      </c>
      <c r="K767" s="4">
        <f>Tablo1[[#This Row],[Quantity]]*Tablo1[[#This Row],[Unit_Price]]</f>
        <v>53910</v>
      </c>
      <c r="L767" s="4">
        <f>Tablo1[[#This Row],[Sales]]-(Tablo1[[#This Row],[Quantity]]*Tablo1[[#This Row],[Unit_Cost]])</f>
        <v>21879</v>
      </c>
    </row>
    <row r="768" spans="1:12" x14ac:dyDescent="0.3">
      <c r="A768" s="2">
        <v>1767</v>
      </c>
      <c r="B768" s="7">
        <v>45323</v>
      </c>
      <c r="C768" s="8" t="s">
        <v>76</v>
      </c>
      <c r="D768" s="2" t="s">
        <v>32</v>
      </c>
      <c r="E768" s="2" t="s">
        <v>30</v>
      </c>
      <c r="F768" s="2" t="s">
        <v>29</v>
      </c>
      <c r="G768" s="2" t="s">
        <v>25</v>
      </c>
      <c r="H768" s="2">
        <v>4</v>
      </c>
      <c r="I768" s="4">
        <v>4323</v>
      </c>
      <c r="J768" s="4">
        <v>3238</v>
      </c>
      <c r="K768" s="4">
        <f>Tablo1[[#This Row],[Quantity]]*Tablo1[[#This Row],[Unit_Price]]</f>
        <v>17292</v>
      </c>
      <c r="L768" s="4">
        <f>Tablo1[[#This Row],[Sales]]-(Tablo1[[#This Row],[Quantity]]*Tablo1[[#This Row],[Unit_Cost]])</f>
        <v>4340</v>
      </c>
    </row>
    <row r="769" spans="1:12" x14ac:dyDescent="0.3">
      <c r="A769" s="2">
        <v>1768</v>
      </c>
      <c r="B769" s="7">
        <v>45414</v>
      </c>
      <c r="C769" s="8" t="s">
        <v>75</v>
      </c>
      <c r="D769" s="2" t="s">
        <v>43</v>
      </c>
      <c r="E769" s="2" t="s">
        <v>26</v>
      </c>
      <c r="F769" s="2" t="s">
        <v>24</v>
      </c>
      <c r="G769" s="2" t="s">
        <v>25</v>
      </c>
      <c r="H769" s="2">
        <v>8</v>
      </c>
      <c r="I769" s="4">
        <v>2795</v>
      </c>
      <c r="J769" s="4">
        <v>2049</v>
      </c>
      <c r="K769" s="4">
        <f>Tablo1[[#This Row],[Quantity]]*Tablo1[[#This Row],[Unit_Price]]</f>
        <v>22360</v>
      </c>
      <c r="L769" s="4">
        <f>Tablo1[[#This Row],[Sales]]-(Tablo1[[#This Row],[Quantity]]*Tablo1[[#This Row],[Unit_Cost]])</f>
        <v>5968</v>
      </c>
    </row>
    <row r="770" spans="1:12" x14ac:dyDescent="0.3">
      <c r="A770" s="2">
        <v>1769</v>
      </c>
      <c r="B770" s="7">
        <v>45520</v>
      </c>
      <c r="C770" s="8" t="s">
        <v>74</v>
      </c>
      <c r="D770" s="2" t="s">
        <v>19</v>
      </c>
      <c r="E770" s="2" t="s">
        <v>23</v>
      </c>
      <c r="F770" s="2" t="s">
        <v>36</v>
      </c>
      <c r="G770" s="2" t="s">
        <v>34</v>
      </c>
      <c r="H770" s="2">
        <v>7</v>
      </c>
      <c r="I770" s="4">
        <v>2263</v>
      </c>
      <c r="J770" s="4">
        <v>1272</v>
      </c>
      <c r="K770" s="4">
        <f>Tablo1[[#This Row],[Quantity]]*Tablo1[[#This Row],[Unit_Price]]</f>
        <v>15841</v>
      </c>
      <c r="L770" s="4">
        <f>Tablo1[[#This Row],[Sales]]-(Tablo1[[#This Row],[Quantity]]*Tablo1[[#This Row],[Unit_Cost]])</f>
        <v>6937</v>
      </c>
    </row>
    <row r="771" spans="1:12" x14ac:dyDescent="0.3">
      <c r="A771" s="2">
        <v>1770</v>
      </c>
      <c r="B771" s="7">
        <v>45556</v>
      </c>
      <c r="C771" s="8" t="s">
        <v>73</v>
      </c>
      <c r="D771" s="2" t="s">
        <v>44</v>
      </c>
      <c r="E771" s="2" t="s">
        <v>38</v>
      </c>
      <c r="F771" s="2" t="s">
        <v>29</v>
      </c>
      <c r="G771" s="2" t="s">
        <v>25</v>
      </c>
      <c r="H771" s="2">
        <v>1</v>
      </c>
      <c r="I771" s="4">
        <v>1009</v>
      </c>
      <c r="J771" s="4">
        <v>649</v>
      </c>
      <c r="K771" s="4">
        <f>Tablo1[[#This Row],[Quantity]]*Tablo1[[#This Row],[Unit_Price]]</f>
        <v>1009</v>
      </c>
      <c r="L771" s="4">
        <f>Tablo1[[#This Row],[Sales]]-(Tablo1[[#This Row],[Quantity]]*Tablo1[[#This Row],[Unit_Cost]])</f>
        <v>360</v>
      </c>
    </row>
    <row r="772" spans="1:12" x14ac:dyDescent="0.3">
      <c r="A772" s="2">
        <v>1771</v>
      </c>
      <c r="B772" s="7">
        <v>45360</v>
      </c>
      <c r="C772" s="8" t="s">
        <v>73</v>
      </c>
      <c r="D772" s="2" t="s">
        <v>41</v>
      </c>
      <c r="E772" s="2" t="s">
        <v>38</v>
      </c>
      <c r="F772" s="2" t="s">
        <v>33</v>
      </c>
      <c r="G772" s="2" t="s">
        <v>34</v>
      </c>
      <c r="H772" s="2">
        <v>9</v>
      </c>
      <c r="I772" s="4">
        <v>4710</v>
      </c>
      <c r="J772" s="4">
        <v>2590</v>
      </c>
      <c r="K772" s="4">
        <f>Tablo1[[#This Row],[Quantity]]*Tablo1[[#This Row],[Unit_Price]]</f>
        <v>42390</v>
      </c>
      <c r="L772" s="4">
        <f>Tablo1[[#This Row],[Sales]]-(Tablo1[[#This Row],[Quantity]]*Tablo1[[#This Row],[Unit_Cost]])</f>
        <v>19080</v>
      </c>
    </row>
    <row r="773" spans="1:12" x14ac:dyDescent="0.3">
      <c r="A773" s="2">
        <v>1772</v>
      </c>
      <c r="B773" s="7">
        <v>45606</v>
      </c>
      <c r="C773" s="8" t="s">
        <v>75</v>
      </c>
      <c r="D773" s="2" t="s">
        <v>44</v>
      </c>
      <c r="E773" s="2" t="s">
        <v>23</v>
      </c>
      <c r="F773" s="2" t="s">
        <v>31</v>
      </c>
      <c r="G773" s="2" t="s">
        <v>17</v>
      </c>
      <c r="H773" s="2">
        <v>2</v>
      </c>
      <c r="I773" s="4">
        <v>4818</v>
      </c>
      <c r="J773" s="4">
        <v>2623</v>
      </c>
      <c r="K773" s="4">
        <f>Tablo1[[#This Row],[Quantity]]*Tablo1[[#This Row],[Unit_Price]]</f>
        <v>9636</v>
      </c>
      <c r="L773" s="4">
        <f>Tablo1[[#This Row],[Sales]]-(Tablo1[[#This Row],[Quantity]]*Tablo1[[#This Row],[Unit_Cost]])</f>
        <v>4390</v>
      </c>
    </row>
    <row r="774" spans="1:12" x14ac:dyDescent="0.3">
      <c r="A774" s="2">
        <v>1773</v>
      </c>
      <c r="B774" s="7">
        <v>45428</v>
      </c>
      <c r="C774" s="8" t="s">
        <v>74</v>
      </c>
      <c r="D774" s="2" t="s">
        <v>13</v>
      </c>
      <c r="E774" s="2" t="s">
        <v>38</v>
      </c>
      <c r="F774" s="2" t="s">
        <v>39</v>
      </c>
      <c r="G774" s="2" t="s">
        <v>28</v>
      </c>
      <c r="H774" s="2">
        <v>7</v>
      </c>
      <c r="I774" s="4">
        <v>958</v>
      </c>
      <c r="J774" s="4">
        <v>765</v>
      </c>
      <c r="K774" s="4">
        <f>Tablo1[[#This Row],[Quantity]]*Tablo1[[#This Row],[Unit_Price]]</f>
        <v>6706</v>
      </c>
      <c r="L774" s="4">
        <f>Tablo1[[#This Row],[Sales]]-(Tablo1[[#This Row],[Quantity]]*Tablo1[[#This Row],[Unit_Cost]])</f>
        <v>1351</v>
      </c>
    </row>
    <row r="775" spans="1:12" x14ac:dyDescent="0.3">
      <c r="A775" s="2">
        <v>1774</v>
      </c>
      <c r="B775" s="7">
        <v>45628</v>
      </c>
      <c r="C775" s="8" t="s">
        <v>76</v>
      </c>
      <c r="D775" s="2" t="s">
        <v>35</v>
      </c>
      <c r="E775" s="2" t="s">
        <v>30</v>
      </c>
      <c r="F775" s="2" t="s">
        <v>21</v>
      </c>
      <c r="G775" s="2" t="s">
        <v>17</v>
      </c>
      <c r="H775" s="2">
        <v>5</v>
      </c>
      <c r="I775" s="4">
        <v>2896</v>
      </c>
      <c r="J775" s="4">
        <v>1893</v>
      </c>
      <c r="K775" s="4">
        <f>Tablo1[[#This Row],[Quantity]]*Tablo1[[#This Row],[Unit_Price]]</f>
        <v>14480</v>
      </c>
      <c r="L775" s="4">
        <f>Tablo1[[#This Row],[Sales]]-(Tablo1[[#This Row],[Quantity]]*Tablo1[[#This Row],[Unit_Cost]])</f>
        <v>5015</v>
      </c>
    </row>
    <row r="776" spans="1:12" x14ac:dyDescent="0.3">
      <c r="A776" s="2">
        <v>1775</v>
      </c>
      <c r="B776" s="7">
        <v>45407</v>
      </c>
      <c r="C776" s="8" t="s">
        <v>75</v>
      </c>
      <c r="D776" s="2" t="s">
        <v>19</v>
      </c>
      <c r="E776" s="2" t="s">
        <v>23</v>
      </c>
      <c r="F776" s="2" t="s">
        <v>29</v>
      </c>
      <c r="G776" s="2" t="s">
        <v>25</v>
      </c>
      <c r="H776" s="2">
        <v>5</v>
      </c>
      <c r="I776" s="4">
        <v>1042</v>
      </c>
      <c r="J776" s="4">
        <v>778</v>
      </c>
      <c r="K776" s="4">
        <f>Tablo1[[#This Row],[Quantity]]*Tablo1[[#This Row],[Unit_Price]]</f>
        <v>5210</v>
      </c>
      <c r="L776" s="4">
        <f>Tablo1[[#This Row],[Sales]]-(Tablo1[[#This Row],[Quantity]]*Tablo1[[#This Row],[Unit_Cost]])</f>
        <v>1320</v>
      </c>
    </row>
    <row r="777" spans="1:12" x14ac:dyDescent="0.3">
      <c r="A777" s="2">
        <v>1776</v>
      </c>
      <c r="B777" s="7">
        <v>45522</v>
      </c>
      <c r="C777" s="8" t="s">
        <v>73</v>
      </c>
      <c r="D777" s="2" t="s">
        <v>19</v>
      </c>
      <c r="E777" s="2" t="s">
        <v>20</v>
      </c>
      <c r="F777" s="2" t="s">
        <v>31</v>
      </c>
      <c r="G777" s="2" t="s">
        <v>17</v>
      </c>
      <c r="H777" s="2">
        <v>9</v>
      </c>
      <c r="I777" s="4">
        <v>8291</v>
      </c>
      <c r="J777" s="4">
        <v>5486</v>
      </c>
      <c r="K777" s="4">
        <f>Tablo1[[#This Row],[Quantity]]*Tablo1[[#This Row],[Unit_Price]]</f>
        <v>74619</v>
      </c>
      <c r="L777" s="4">
        <f>Tablo1[[#This Row],[Sales]]-(Tablo1[[#This Row],[Quantity]]*Tablo1[[#This Row],[Unit_Cost]])</f>
        <v>25245</v>
      </c>
    </row>
    <row r="778" spans="1:12" x14ac:dyDescent="0.3">
      <c r="A778" s="2">
        <v>1777</v>
      </c>
      <c r="B778" s="7">
        <v>45507</v>
      </c>
      <c r="C778" s="8" t="s">
        <v>76</v>
      </c>
      <c r="D778" s="2" t="s">
        <v>43</v>
      </c>
      <c r="E778" s="2" t="s">
        <v>38</v>
      </c>
      <c r="F778" s="2" t="s">
        <v>21</v>
      </c>
      <c r="G778" s="2" t="s">
        <v>17</v>
      </c>
      <c r="H778" s="2">
        <v>8</v>
      </c>
      <c r="I778" s="4">
        <v>5933</v>
      </c>
      <c r="J778" s="4">
        <v>3610</v>
      </c>
      <c r="K778" s="4">
        <f>Tablo1[[#This Row],[Quantity]]*Tablo1[[#This Row],[Unit_Price]]</f>
        <v>47464</v>
      </c>
      <c r="L778" s="4">
        <f>Tablo1[[#This Row],[Sales]]-(Tablo1[[#This Row],[Quantity]]*Tablo1[[#This Row],[Unit_Cost]])</f>
        <v>18584</v>
      </c>
    </row>
    <row r="779" spans="1:12" x14ac:dyDescent="0.3">
      <c r="A779" s="2">
        <v>1778</v>
      </c>
      <c r="B779" s="7">
        <v>45392</v>
      </c>
      <c r="C779" s="8" t="s">
        <v>74</v>
      </c>
      <c r="D779" s="2" t="s">
        <v>41</v>
      </c>
      <c r="E779" s="2" t="s">
        <v>38</v>
      </c>
      <c r="F779" s="2" t="s">
        <v>29</v>
      </c>
      <c r="G779" s="2" t="s">
        <v>25</v>
      </c>
      <c r="H779" s="2">
        <v>4</v>
      </c>
      <c r="I779" s="4">
        <v>2785</v>
      </c>
      <c r="J779" s="4">
        <v>1811</v>
      </c>
      <c r="K779" s="4">
        <f>Tablo1[[#This Row],[Quantity]]*Tablo1[[#This Row],[Unit_Price]]</f>
        <v>11140</v>
      </c>
      <c r="L779" s="4">
        <f>Tablo1[[#This Row],[Sales]]-(Tablo1[[#This Row],[Quantity]]*Tablo1[[#This Row],[Unit_Cost]])</f>
        <v>3896</v>
      </c>
    </row>
    <row r="780" spans="1:12" x14ac:dyDescent="0.3">
      <c r="A780" s="2">
        <v>1779</v>
      </c>
      <c r="B780" s="7">
        <v>45426</v>
      </c>
      <c r="C780" s="8" t="s">
        <v>77</v>
      </c>
      <c r="D780" s="2" t="s">
        <v>41</v>
      </c>
      <c r="E780" s="2" t="s">
        <v>20</v>
      </c>
      <c r="F780" s="2" t="s">
        <v>39</v>
      </c>
      <c r="G780" s="2" t="s">
        <v>28</v>
      </c>
      <c r="H780" s="2">
        <v>4</v>
      </c>
      <c r="I780" s="4">
        <v>1376</v>
      </c>
      <c r="J780" s="4">
        <v>1010</v>
      </c>
      <c r="K780" s="4">
        <f>Tablo1[[#This Row],[Quantity]]*Tablo1[[#This Row],[Unit_Price]]</f>
        <v>5504</v>
      </c>
      <c r="L780" s="4">
        <f>Tablo1[[#This Row],[Sales]]-(Tablo1[[#This Row],[Quantity]]*Tablo1[[#This Row],[Unit_Cost]])</f>
        <v>1464</v>
      </c>
    </row>
    <row r="781" spans="1:12" x14ac:dyDescent="0.3">
      <c r="A781" s="2">
        <v>1780</v>
      </c>
      <c r="B781" s="7">
        <v>45652</v>
      </c>
      <c r="C781" s="8" t="s">
        <v>75</v>
      </c>
      <c r="D781" s="2" t="s">
        <v>13</v>
      </c>
      <c r="E781" s="2" t="s">
        <v>23</v>
      </c>
      <c r="F781" s="2" t="s">
        <v>36</v>
      </c>
      <c r="G781" s="2" t="s">
        <v>34</v>
      </c>
      <c r="H781" s="2">
        <v>6</v>
      </c>
      <c r="I781" s="4">
        <v>4288</v>
      </c>
      <c r="J781" s="4">
        <v>3185</v>
      </c>
      <c r="K781" s="4">
        <f>Tablo1[[#This Row],[Quantity]]*Tablo1[[#This Row],[Unit_Price]]</f>
        <v>25728</v>
      </c>
      <c r="L781" s="4">
        <f>Tablo1[[#This Row],[Sales]]-(Tablo1[[#This Row],[Quantity]]*Tablo1[[#This Row],[Unit_Cost]])</f>
        <v>6618</v>
      </c>
    </row>
    <row r="782" spans="1:12" x14ac:dyDescent="0.3">
      <c r="A782" s="2">
        <v>1781</v>
      </c>
      <c r="B782" s="7">
        <v>45512</v>
      </c>
      <c r="C782" s="8" t="s">
        <v>76</v>
      </c>
      <c r="D782" s="2" t="s">
        <v>13</v>
      </c>
      <c r="E782" s="2" t="s">
        <v>26</v>
      </c>
      <c r="F782" s="2" t="s">
        <v>33</v>
      </c>
      <c r="G782" s="2" t="s">
        <v>34</v>
      </c>
      <c r="H782" s="2">
        <v>4</v>
      </c>
      <c r="I782" s="4">
        <v>5818</v>
      </c>
      <c r="J782" s="4">
        <v>4532</v>
      </c>
      <c r="K782" s="4">
        <f>Tablo1[[#This Row],[Quantity]]*Tablo1[[#This Row],[Unit_Price]]</f>
        <v>23272</v>
      </c>
      <c r="L782" s="4">
        <f>Tablo1[[#This Row],[Sales]]-(Tablo1[[#This Row],[Quantity]]*Tablo1[[#This Row],[Unit_Cost]])</f>
        <v>5144</v>
      </c>
    </row>
    <row r="783" spans="1:12" x14ac:dyDescent="0.3">
      <c r="A783" s="2">
        <v>1782</v>
      </c>
      <c r="B783" s="7">
        <v>45604</v>
      </c>
      <c r="C783" s="8" t="s">
        <v>75</v>
      </c>
      <c r="D783" s="2" t="s">
        <v>10</v>
      </c>
      <c r="E783" s="2" t="s">
        <v>26</v>
      </c>
      <c r="F783" s="2" t="s">
        <v>48</v>
      </c>
      <c r="G783" s="2" t="s">
        <v>34</v>
      </c>
      <c r="H783" s="2">
        <v>3</v>
      </c>
      <c r="I783" s="4">
        <v>6437</v>
      </c>
      <c r="J783" s="4">
        <v>4926</v>
      </c>
      <c r="K783" s="4">
        <f>Tablo1[[#This Row],[Quantity]]*Tablo1[[#This Row],[Unit_Price]]</f>
        <v>19311</v>
      </c>
      <c r="L783" s="4">
        <f>Tablo1[[#This Row],[Sales]]-(Tablo1[[#This Row],[Quantity]]*Tablo1[[#This Row],[Unit_Cost]])</f>
        <v>4533</v>
      </c>
    </row>
    <row r="784" spans="1:12" x14ac:dyDescent="0.3">
      <c r="A784" s="2">
        <v>1783</v>
      </c>
      <c r="B784" s="7">
        <v>45403</v>
      </c>
      <c r="C784" s="8" t="s">
        <v>74</v>
      </c>
      <c r="D784" s="2" t="s">
        <v>43</v>
      </c>
      <c r="E784" s="2" t="s">
        <v>30</v>
      </c>
      <c r="F784" s="2" t="s">
        <v>11</v>
      </c>
      <c r="G784" s="2" t="s">
        <v>12</v>
      </c>
      <c r="H784" s="2">
        <v>5</v>
      </c>
      <c r="I784" s="4">
        <v>8405</v>
      </c>
      <c r="J784" s="4">
        <v>5471</v>
      </c>
      <c r="K784" s="4">
        <f>Tablo1[[#This Row],[Quantity]]*Tablo1[[#This Row],[Unit_Price]]</f>
        <v>42025</v>
      </c>
      <c r="L784" s="4">
        <f>Tablo1[[#This Row],[Sales]]-(Tablo1[[#This Row],[Quantity]]*Tablo1[[#This Row],[Unit_Cost]])</f>
        <v>14670</v>
      </c>
    </row>
    <row r="785" spans="1:12" x14ac:dyDescent="0.3">
      <c r="A785" s="2">
        <v>1784</v>
      </c>
      <c r="B785" s="7">
        <v>45644</v>
      </c>
      <c r="C785" s="8" t="s">
        <v>73</v>
      </c>
      <c r="D785" s="2" t="s">
        <v>44</v>
      </c>
      <c r="E785" s="2" t="s">
        <v>20</v>
      </c>
      <c r="F785" s="2" t="s">
        <v>29</v>
      </c>
      <c r="G785" s="2" t="s">
        <v>25</v>
      </c>
      <c r="H785" s="2">
        <v>4</v>
      </c>
      <c r="I785" s="4">
        <v>2672</v>
      </c>
      <c r="J785" s="4">
        <v>1366</v>
      </c>
      <c r="K785" s="4">
        <f>Tablo1[[#This Row],[Quantity]]*Tablo1[[#This Row],[Unit_Price]]</f>
        <v>10688</v>
      </c>
      <c r="L785" s="4">
        <f>Tablo1[[#This Row],[Sales]]-(Tablo1[[#This Row],[Quantity]]*Tablo1[[#This Row],[Unit_Cost]])</f>
        <v>5224</v>
      </c>
    </row>
    <row r="786" spans="1:12" x14ac:dyDescent="0.3">
      <c r="A786" s="2">
        <v>1785</v>
      </c>
      <c r="B786" s="7">
        <v>45516</v>
      </c>
      <c r="C786" s="8" t="s">
        <v>73</v>
      </c>
      <c r="D786" s="2" t="s">
        <v>19</v>
      </c>
      <c r="E786" s="2" t="s">
        <v>38</v>
      </c>
      <c r="F786" s="2" t="s">
        <v>46</v>
      </c>
      <c r="G786" s="2" t="s">
        <v>17</v>
      </c>
      <c r="H786" s="2">
        <v>7</v>
      </c>
      <c r="I786" s="4">
        <v>5301</v>
      </c>
      <c r="J786" s="4">
        <v>3034</v>
      </c>
      <c r="K786" s="4">
        <f>Tablo1[[#This Row],[Quantity]]*Tablo1[[#This Row],[Unit_Price]]</f>
        <v>37107</v>
      </c>
      <c r="L786" s="4">
        <f>Tablo1[[#This Row],[Sales]]-(Tablo1[[#This Row],[Quantity]]*Tablo1[[#This Row],[Unit_Cost]])</f>
        <v>15869</v>
      </c>
    </row>
    <row r="787" spans="1:12" x14ac:dyDescent="0.3">
      <c r="A787" s="2">
        <v>1786</v>
      </c>
      <c r="B787" s="7">
        <v>45622</v>
      </c>
      <c r="C787" s="8" t="s">
        <v>75</v>
      </c>
      <c r="D787" s="2" t="s">
        <v>35</v>
      </c>
      <c r="E787" s="2" t="s">
        <v>38</v>
      </c>
      <c r="F787" s="2" t="s">
        <v>16</v>
      </c>
      <c r="G787" s="2" t="s">
        <v>17</v>
      </c>
      <c r="H787" s="2">
        <v>3</v>
      </c>
      <c r="I787" s="4">
        <v>2506</v>
      </c>
      <c r="J787" s="4">
        <v>1713</v>
      </c>
      <c r="K787" s="4">
        <f>Tablo1[[#This Row],[Quantity]]*Tablo1[[#This Row],[Unit_Price]]</f>
        <v>7518</v>
      </c>
      <c r="L787" s="4">
        <f>Tablo1[[#This Row],[Sales]]-(Tablo1[[#This Row],[Quantity]]*Tablo1[[#This Row],[Unit_Cost]])</f>
        <v>2379</v>
      </c>
    </row>
    <row r="788" spans="1:12" x14ac:dyDescent="0.3">
      <c r="A788" s="2">
        <v>1787</v>
      </c>
      <c r="B788" s="7">
        <v>45326</v>
      </c>
      <c r="C788" s="8" t="s">
        <v>74</v>
      </c>
      <c r="D788" s="2" t="s">
        <v>35</v>
      </c>
      <c r="E788" s="2" t="s">
        <v>26</v>
      </c>
      <c r="F788" s="2" t="s">
        <v>45</v>
      </c>
      <c r="G788" s="2" t="s">
        <v>34</v>
      </c>
      <c r="H788" s="2">
        <v>8</v>
      </c>
      <c r="I788" s="4">
        <v>6967</v>
      </c>
      <c r="J788" s="4">
        <v>4498</v>
      </c>
      <c r="K788" s="4">
        <f>Tablo1[[#This Row],[Quantity]]*Tablo1[[#This Row],[Unit_Price]]</f>
        <v>55736</v>
      </c>
      <c r="L788" s="4">
        <f>Tablo1[[#This Row],[Sales]]-(Tablo1[[#This Row],[Quantity]]*Tablo1[[#This Row],[Unit_Cost]])</f>
        <v>19752</v>
      </c>
    </row>
    <row r="789" spans="1:12" x14ac:dyDescent="0.3">
      <c r="A789" s="2">
        <v>1788</v>
      </c>
      <c r="B789" s="7">
        <v>45558</v>
      </c>
      <c r="C789" s="8" t="s">
        <v>76</v>
      </c>
      <c r="D789" s="2" t="s">
        <v>10</v>
      </c>
      <c r="E789" s="2" t="s">
        <v>23</v>
      </c>
      <c r="F789" s="2" t="s">
        <v>37</v>
      </c>
      <c r="G789" s="2" t="s">
        <v>28</v>
      </c>
      <c r="H789" s="2">
        <v>4</v>
      </c>
      <c r="I789" s="4">
        <v>1616</v>
      </c>
      <c r="J789" s="4">
        <v>891</v>
      </c>
      <c r="K789" s="4">
        <f>Tablo1[[#This Row],[Quantity]]*Tablo1[[#This Row],[Unit_Price]]</f>
        <v>6464</v>
      </c>
      <c r="L789" s="4">
        <f>Tablo1[[#This Row],[Sales]]-(Tablo1[[#This Row],[Quantity]]*Tablo1[[#This Row],[Unit_Cost]])</f>
        <v>2900</v>
      </c>
    </row>
    <row r="790" spans="1:12" x14ac:dyDescent="0.3">
      <c r="A790" s="2">
        <v>1789</v>
      </c>
      <c r="B790" s="7">
        <v>45428</v>
      </c>
      <c r="C790" s="8" t="s">
        <v>75</v>
      </c>
      <c r="D790" s="2" t="s">
        <v>35</v>
      </c>
      <c r="E790" s="2" t="s">
        <v>30</v>
      </c>
      <c r="F790" s="2" t="s">
        <v>39</v>
      </c>
      <c r="G790" s="2" t="s">
        <v>28</v>
      </c>
      <c r="H790" s="2">
        <v>7</v>
      </c>
      <c r="I790" s="4">
        <v>3901</v>
      </c>
      <c r="J790" s="4">
        <v>2982</v>
      </c>
      <c r="K790" s="4">
        <f>Tablo1[[#This Row],[Quantity]]*Tablo1[[#This Row],[Unit_Price]]</f>
        <v>27307</v>
      </c>
      <c r="L790" s="4">
        <f>Tablo1[[#This Row],[Sales]]-(Tablo1[[#This Row],[Quantity]]*Tablo1[[#This Row],[Unit_Cost]])</f>
        <v>6433</v>
      </c>
    </row>
    <row r="791" spans="1:12" x14ac:dyDescent="0.3">
      <c r="A791" s="2">
        <v>1790</v>
      </c>
      <c r="B791" s="7">
        <v>45528</v>
      </c>
      <c r="C791" s="8" t="s">
        <v>73</v>
      </c>
      <c r="D791" s="2" t="s">
        <v>19</v>
      </c>
      <c r="E791" s="2" t="s">
        <v>26</v>
      </c>
      <c r="F791" s="2" t="s">
        <v>48</v>
      </c>
      <c r="G791" s="2" t="s">
        <v>34</v>
      </c>
      <c r="H791" s="2">
        <v>7</v>
      </c>
      <c r="I791" s="4">
        <v>1348</v>
      </c>
      <c r="J791" s="4">
        <v>961</v>
      </c>
      <c r="K791" s="4">
        <f>Tablo1[[#This Row],[Quantity]]*Tablo1[[#This Row],[Unit_Price]]</f>
        <v>9436</v>
      </c>
      <c r="L791" s="4">
        <f>Tablo1[[#This Row],[Sales]]-(Tablo1[[#This Row],[Quantity]]*Tablo1[[#This Row],[Unit_Cost]])</f>
        <v>2709</v>
      </c>
    </row>
    <row r="792" spans="1:12" x14ac:dyDescent="0.3">
      <c r="A792" s="2">
        <v>1791</v>
      </c>
      <c r="B792" s="7">
        <v>45474</v>
      </c>
      <c r="C792" s="8" t="s">
        <v>76</v>
      </c>
      <c r="D792" s="2" t="s">
        <v>15</v>
      </c>
      <c r="E792" s="2" t="s">
        <v>30</v>
      </c>
      <c r="F792" s="2" t="s">
        <v>48</v>
      </c>
      <c r="G792" s="2" t="s">
        <v>34</v>
      </c>
      <c r="H792" s="2">
        <v>1</v>
      </c>
      <c r="I792" s="4">
        <v>1161</v>
      </c>
      <c r="J792" s="4">
        <v>707</v>
      </c>
      <c r="K792" s="4">
        <f>Tablo1[[#This Row],[Quantity]]*Tablo1[[#This Row],[Unit_Price]]</f>
        <v>1161</v>
      </c>
      <c r="L792" s="4">
        <f>Tablo1[[#This Row],[Sales]]-(Tablo1[[#This Row],[Quantity]]*Tablo1[[#This Row],[Unit_Cost]])</f>
        <v>454</v>
      </c>
    </row>
    <row r="793" spans="1:12" x14ac:dyDescent="0.3">
      <c r="A793" s="2">
        <v>1792</v>
      </c>
      <c r="B793" s="7">
        <v>45590</v>
      </c>
      <c r="C793" s="8" t="s">
        <v>74</v>
      </c>
      <c r="D793" s="2" t="s">
        <v>10</v>
      </c>
      <c r="E793" s="2" t="s">
        <v>30</v>
      </c>
      <c r="F793" s="2" t="s">
        <v>11</v>
      </c>
      <c r="G793" s="2" t="s">
        <v>12</v>
      </c>
      <c r="H793" s="2">
        <v>1</v>
      </c>
      <c r="I793" s="4">
        <v>24432</v>
      </c>
      <c r="J793" s="4">
        <v>12921</v>
      </c>
      <c r="K793" s="4">
        <f>Tablo1[[#This Row],[Quantity]]*Tablo1[[#This Row],[Unit_Price]]</f>
        <v>24432</v>
      </c>
      <c r="L793" s="4">
        <f>Tablo1[[#This Row],[Sales]]-(Tablo1[[#This Row],[Quantity]]*Tablo1[[#This Row],[Unit_Cost]])</f>
        <v>11511</v>
      </c>
    </row>
    <row r="794" spans="1:12" x14ac:dyDescent="0.3">
      <c r="A794" s="2">
        <v>1793</v>
      </c>
      <c r="B794" s="7">
        <v>45311</v>
      </c>
      <c r="C794" s="8" t="s">
        <v>77</v>
      </c>
      <c r="D794" s="2" t="s">
        <v>19</v>
      </c>
      <c r="E794" s="2" t="s">
        <v>30</v>
      </c>
      <c r="F794" s="2" t="s">
        <v>40</v>
      </c>
      <c r="G794" s="2" t="s">
        <v>25</v>
      </c>
      <c r="H794" s="2">
        <v>10</v>
      </c>
      <c r="I794" s="4">
        <v>3457</v>
      </c>
      <c r="J794" s="4">
        <v>2548</v>
      </c>
      <c r="K794" s="4">
        <f>Tablo1[[#This Row],[Quantity]]*Tablo1[[#This Row],[Unit_Price]]</f>
        <v>34570</v>
      </c>
      <c r="L794" s="4">
        <f>Tablo1[[#This Row],[Sales]]-(Tablo1[[#This Row],[Quantity]]*Tablo1[[#This Row],[Unit_Cost]])</f>
        <v>9090</v>
      </c>
    </row>
    <row r="795" spans="1:12" x14ac:dyDescent="0.3">
      <c r="A795" s="2">
        <v>1794</v>
      </c>
      <c r="B795" s="7">
        <v>45620</v>
      </c>
      <c r="C795" s="8" t="s">
        <v>75</v>
      </c>
      <c r="D795" s="2" t="s">
        <v>13</v>
      </c>
      <c r="E795" s="2" t="s">
        <v>38</v>
      </c>
      <c r="F795" s="2" t="s">
        <v>29</v>
      </c>
      <c r="G795" s="2" t="s">
        <v>25</v>
      </c>
      <c r="H795" s="2">
        <v>4</v>
      </c>
      <c r="I795" s="4">
        <v>3568</v>
      </c>
      <c r="J795" s="4">
        <v>2452</v>
      </c>
      <c r="K795" s="4">
        <f>Tablo1[[#This Row],[Quantity]]*Tablo1[[#This Row],[Unit_Price]]</f>
        <v>14272</v>
      </c>
      <c r="L795" s="4">
        <f>Tablo1[[#This Row],[Sales]]-(Tablo1[[#This Row],[Quantity]]*Tablo1[[#This Row],[Unit_Cost]])</f>
        <v>4464</v>
      </c>
    </row>
    <row r="796" spans="1:12" x14ac:dyDescent="0.3">
      <c r="A796" s="2">
        <v>1795</v>
      </c>
      <c r="B796" s="7">
        <v>45581</v>
      </c>
      <c r="C796" s="8" t="s">
        <v>76</v>
      </c>
      <c r="D796" s="2" t="s">
        <v>10</v>
      </c>
      <c r="E796" s="2" t="s">
        <v>30</v>
      </c>
      <c r="F796" s="2" t="s">
        <v>27</v>
      </c>
      <c r="G796" s="2" t="s">
        <v>28</v>
      </c>
      <c r="H796" s="2">
        <v>7</v>
      </c>
      <c r="I796" s="4">
        <v>1425</v>
      </c>
      <c r="J796" s="4">
        <v>921</v>
      </c>
      <c r="K796" s="4">
        <f>Tablo1[[#This Row],[Quantity]]*Tablo1[[#This Row],[Unit_Price]]</f>
        <v>9975</v>
      </c>
      <c r="L796" s="4">
        <f>Tablo1[[#This Row],[Sales]]-(Tablo1[[#This Row],[Quantity]]*Tablo1[[#This Row],[Unit_Cost]])</f>
        <v>3528</v>
      </c>
    </row>
    <row r="797" spans="1:12" x14ac:dyDescent="0.3">
      <c r="A797" s="2">
        <v>1796</v>
      </c>
      <c r="B797" s="7">
        <v>45385</v>
      </c>
      <c r="C797" s="8" t="s">
        <v>75</v>
      </c>
      <c r="D797" s="2" t="s">
        <v>41</v>
      </c>
      <c r="E797" s="2" t="s">
        <v>26</v>
      </c>
      <c r="F797" s="2" t="s">
        <v>31</v>
      </c>
      <c r="G797" s="2" t="s">
        <v>17</v>
      </c>
      <c r="H797" s="2">
        <v>2</v>
      </c>
      <c r="I797" s="4">
        <v>5770</v>
      </c>
      <c r="J797" s="4">
        <v>3475</v>
      </c>
      <c r="K797" s="4">
        <f>Tablo1[[#This Row],[Quantity]]*Tablo1[[#This Row],[Unit_Price]]</f>
        <v>11540</v>
      </c>
      <c r="L797" s="4">
        <f>Tablo1[[#This Row],[Sales]]-(Tablo1[[#This Row],[Quantity]]*Tablo1[[#This Row],[Unit_Cost]])</f>
        <v>4590</v>
      </c>
    </row>
    <row r="798" spans="1:12" x14ac:dyDescent="0.3">
      <c r="A798" s="2">
        <v>1797</v>
      </c>
      <c r="B798" s="7">
        <v>45517</v>
      </c>
      <c r="C798" s="8" t="s">
        <v>74</v>
      </c>
      <c r="D798" s="2" t="s">
        <v>19</v>
      </c>
      <c r="E798" s="2" t="s">
        <v>26</v>
      </c>
      <c r="F798" s="2" t="s">
        <v>49</v>
      </c>
      <c r="G798" s="2" t="s">
        <v>12</v>
      </c>
      <c r="H798" s="2">
        <v>9</v>
      </c>
      <c r="I798" s="4">
        <v>16827</v>
      </c>
      <c r="J798" s="4">
        <v>11816</v>
      </c>
      <c r="K798" s="4">
        <f>Tablo1[[#This Row],[Quantity]]*Tablo1[[#This Row],[Unit_Price]]</f>
        <v>151443</v>
      </c>
      <c r="L798" s="4">
        <f>Tablo1[[#This Row],[Sales]]-(Tablo1[[#This Row],[Quantity]]*Tablo1[[#This Row],[Unit_Cost]])</f>
        <v>45099</v>
      </c>
    </row>
    <row r="799" spans="1:12" x14ac:dyDescent="0.3">
      <c r="A799" s="2">
        <v>1798</v>
      </c>
      <c r="B799" s="7">
        <v>45572</v>
      </c>
      <c r="C799" s="8" t="s">
        <v>73</v>
      </c>
      <c r="D799" s="2" t="s">
        <v>41</v>
      </c>
      <c r="E799" s="2" t="s">
        <v>23</v>
      </c>
      <c r="F799" s="2" t="s">
        <v>46</v>
      </c>
      <c r="G799" s="2" t="s">
        <v>17</v>
      </c>
      <c r="H799" s="2">
        <v>6</v>
      </c>
      <c r="I799" s="4">
        <v>4252</v>
      </c>
      <c r="J799" s="4">
        <v>3229</v>
      </c>
      <c r="K799" s="4">
        <f>Tablo1[[#This Row],[Quantity]]*Tablo1[[#This Row],[Unit_Price]]</f>
        <v>25512</v>
      </c>
      <c r="L799" s="4">
        <f>Tablo1[[#This Row],[Sales]]-(Tablo1[[#This Row],[Quantity]]*Tablo1[[#This Row],[Unit_Cost]])</f>
        <v>6138</v>
      </c>
    </row>
    <row r="800" spans="1:12" x14ac:dyDescent="0.3">
      <c r="A800" s="2">
        <v>1799</v>
      </c>
      <c r="B800" s="7">
        <v>45529</v>
      </c>
      <c r="C800" s="8" t="s">
        <v>73</v>
      </c>
      <c r="D800" s="2" t="s">
        <v>35</v>
      </c>
      <c r="E800" s="2" t="s">
        <v>26</v>
      </c>
      <c r="F800" s="2" t="s">
        <v>45</v>
      </c>
      <c r="G800" s="2" t="s">
        <v>34</v>
      </c>
      <c r="H800" s="2">
        <v>8</v>
      </c>
      <c r="I800" s="4">
        <v>1614</v>
      </c>
      <c r="J800" s="4">
        <v>813</v>
      </c>
      <c r="K800" s="4">
        <f>Tablo1[[#This Row],[Quantity]]*Tablo1[[#This Row],[Unit_Price]]</f>
        <v>12912</v>
      </c>
      <c r="L800" s="4">
        <f>Tablo1[[#This Row],[Sales]]-(Tablo1[[#This Row],[Quantity]]*Tablo1[[#This Row],[Unit_Cost]])</f>
        <v>6408</v>
      </c>
    </row>
    <row r="801" spans="1:12" x14ac:dyDescent="0.3">
      <c r="A801" s="2">
        <v>1800</v>
      </c>
      <c r="B801" s="7">
        <v>45466</v>
      </c>
      <c r="C801" s="8" t="s">
        <v>75</v>
      </c>
      <c r="D801" s="2" t="s">
        <v>10</v>
      </c>
      <c r="E801" s="2" t="s">
        <v>20</v>
      </c>
      <c r="F801" s="2" t="s">
        <v>47</v>
      </c>
      <c r="G801" s="2" t="s">
        <v>25</v>
      </c>
      <c r="H801" s="2">
        <v>1</v>
      </c>
      <c r="I801" s="4">
        <v>1900</v>
      </c>
      <c r="J801" s="4">
        <v>979</v>
      </c>
      <c r="K801" s="4">
        <f>Tablo1[[#This Row],[Quantity]]*Tablo1[[#This Row],[Unit_Price]]</f>
        <v>1900</v>
      </c>
      <c r="L801" s="4">
        <f>Tablo1[[#This Row],[Sales]]-(Tablo1[[#This Row],[Quantity]]*Tablo1[[#This Row],[Unit_Cost]])</f>
        <v>921</v>
      </c>
    </row>
    <row r="802" spans="1:12" x14ac:dyDescent="0.3">
      <c r="A802" s="2">
        <v>1801</v>
      </c>
      <c r="B802" s="7">
        <v>45538</v>
      </c>
      <c r="C802" s="8" t="s">
        <v>74</v>
      </c>
      <c r="D802" s="2" t="s">
        <v>15</v>
      </c>
      <c r="E802" s="2" t="s">
        <v>30</v>
      </c>
      <c r="F802" s="2" t="s">
        <v>49</v>
      </c>
      <c r="G802" s="2" t="s">
        <v>12</v>
      </c>
      <c r="H802" s="2">
        <v>4</v>
      </c>
      <c r="I802" s="4">
        <v>14647</v>
      </c>
      <c r="J802" s="4">
        <v>8479</v>
      </c>
      <c r="K802" s="4">
        <f>Tablo1[[#This Row],[Quantity]]*Tablo1[[#This Row],[Unit_Price]]</f>
        <v>58588</v>
      </c>
      <c r="L802" s="4">
        <f>Tablo1[[#This Row],[Sales]]-(Tablo1[[#This Row],[Quantity]]*Tablo1[[#This Row],[Unit_Cost]])</f>
        <v>24672</v>
      </c>
    </row>
    <row r="803" spans="1:12" x14ac:dyDescent="0.3">
      <c r="A803" s="2">
        <v>1802</v>
      </c>
      <c r="B803" s="7">
        <v>45307</v>
      </c>
      <c r="C803" s="8" t="s">
        <v>76</v>
      </c>
      <c r="D803" s="2" t="s">
        <v>10</v>
      </c>
      <c r="E803" s="2" t="s">
        <v>26</v>
      </c>
      <c r="F803" s="2" t="s">
        <v>39</v>
      </c>
      <c r="G803" s="2" t="s">
        <v>28</v>
      </c>
      <c r="H803" s="2">
        <v>1</v>
      </c>
      <c r="I803" s="4">
        <v>3483</v>
      </c>
      <c r="J803" s="4">
        <v>1966</v>
      </c>
      <c r="K803" s="4">
        <f>Tablo1[[#This Row],[Quantity]]*Tablo1[[#This Row],[Unit_Price]]</f>
        <v>3483</v>
      </c>
      <c r="L803" s="4">
        <f>Tablo1[[#This Row],[Sales]]-(Tablo1[[#This Row],[Quantity]]*Tablo1[[#This Row],[Unit_Cost]])</f>
        <v>1517</v>
      </c>
    </row>
    <row r="804" spans="1:12" x14ac:dyDescent="0.3">
      <c r="A804" s="2">
        <v>1803</v>
      </c>
      <c r="B804" s="7">
        <v>45313</v>
      </c>
      <c r="C804" s="8" t="s">
        <v>75</v>
      </c>
      <c r="D804" s="2" t="s">
        <v>19</v>
      </c>
      <c r="E804" s="2" t="s">
        <v>26</v>
      </c>
      <c r="F804" s="2" t="s">
        <v>33</v>
      </c>
      <c r="G804" s="2" t="s">
        <v>34</v>
      </c>
      <c r="H804" s="2">
        <v>4</v>
      </c>
      <c r="I804" s="4">
        <v>3192</v>
      </c>
      <c r="J804" s="4">
        <v>1702</v>
      </c>
      <c r="K804" s="4">
        <f>Tablo1[[#This Row],[Quantity]]*Tablo1[[#This Row],[Unit_Price]]</f>
        <v>12768</v>
      </c>
      <c r="L804" s="4">
        <f>Tablo1[[#This Row],[Sales]]-(Tablo1[[#This Row],[Quantity]]*Tablo1[[#This Row],[Unit_Cost]])</f>
        <v>5960</v>
      </c>
    </row>
    <row r="805" spans="1:12" x14ac:dyDescent="0.3">
      <c r="A805" s="2">
        <v>1804</v>
      </c>
      <c r="B805" s="7">
        <v>45488</v>
      </c>
      <c r="C805" s="8" t="s">
        <v>73</v>
      </c>
      <c r="D805" s="2" t="s">
        <v>10</v>
      </c>
      <c r="E805" s="2" t="s">
        <v>20</v>
      </c>
      <c r="F805" s="2" t="s">
        <v>33</v>
      </c>
      <c r="G805" s="2" t="s">
        <v>34</v>
      </c>
      <c r="H805" s="2">
        <v>1</v>
      </c>
      <c r="I805" s="4">
        <v>6662</v>
      </c>
      <c r="J805" s="4">
        <v>3491</v>
      </c>
      <c r="K805" s="4">
        <f>Tablo1[[#This Row],[Quantity]]*Tablo1[[#This Row],[Unit_Price]]</f>
        <v>6662</v>
      </c>
      <c r="L805" s="4">
        <f>Tablo1[[#This Row],[Sales]]-(Tablo1[[#This Row],[Quantity]]*Tablo1[[#This Row],[Unit_Cost]])</f>
        <v>3171</v>
      </c>
    </row>
    <row r="806" spans="1:12" x14ac:dyDescent="0.3">
      <c r="A806" s="2">
        <v>1805</v>
      </c>
      <c r="B806" s="7">
        <v>45301</v>
      </c>
      <c r="C806" s="8" t="s">
        <v>76</v>
      </c>
      <c r="D806" s="2" t="s">
        <v>10</v>
      </c>
      <c r="E806" s="2" t="s">
        <v>23</v>
      </c>
      <c r="F806" s="2" t="s">
        <v>47</v>
      </c>
      <c r="G806" s="2" t="s">
        <v>25</v>
      </c>
      <c r="H806" s="2">
        <v>1</v>
      </c>
      <c r="I806" s="4">
        <v>5097</v>
      </c>
      <c r="J806" s="4">
        <v>3046</v>
      </c>
      <c r="K806" s="4">
        <f>Tablo1[[#This Row],[Quantity]]*Tablo1[[#This Row],[Unit_Price]]</f>
        <v>5097</v>
      </c>
      <c r="L806" s="4">
        <f>Tablo1[[#This Row],[Sales]]-(Tablo1[[#This Row],[Quantity]]*Tablo1[[#This Row],[Unit_Cost]])</f>
        <v>2051</v>
      </c>
    </row>
    <row r="807" spans="1:12" x14ac:dyDescent="0.3">
      <c r="A807" s="2">
        <v>1806</v>
      </c>
      <c r="B807" s="7">
        <v>45304</v>
      </c>
      <c r="C807" s="8" t="s">
        <v>74</v>
      </c>
      <c r="D807" s="2" t="s">
        <v>32</v>
      </c>
      <c r="E807" s="2" t="s">
        <v>20</v>
      </c>
      <c r="F807" s="2" t="s">
        <v>50</v>
      </c>
      <c r="G807" s="2" t="s">
        <v>28</v>
      </c>
      <c r="H807" s="2">
        <v>6</v>
      </c>
      <c r="I807" s="4">
        <v>1846</v>
      </c>
      <c r="J807" s="4">
        <v>1333</v>
      </c>
      <c r="K807" s="4">
        <f>Tablo1[[#This Row],[Quantity]]*Tablo1[[#This Row],[Unit_Price]]</f>
        <v>11076</v>
      </c>
      <c r="L807" s="4">
        <f>Tablo1[[#This Row],[Sales]]-(Tablo1[[#This Row],[Quantity]]*Tablo1[[#This Row],[Unit_Cost]])</f>
        <v>3078</v>
      </c>
    </row>
    <row r="808" spans="1:12" x14ac:dyDescent="0.3">
      <c r="A808" s="2">
        <v>1807</v>
      </c>
      <c r="B808" s="7">
        <v>45538</v>
      </c>
      <c r="C808" s="8" t="s">
        <v>77</v>
      </c>
      <c r="D808" s="2" t="s">
        <v>41</v>
      </c>
      <c r="E808" s="2" t="s">
        <v>20</v>
      </c>
      <c r="F808" s="2" t="s">
        <v>37</v>
      </c>
      <c r="G808" s="2" t="s">
        <v>28</v>
      </c>
      <c r="H808" s="2">
        <v>7</v>
      </c>
      <c r="I808" s="4">
        <v>3743</v>
      </c>
      <c r="J808" s="4">
        <v>2062</v>
      </c>
      <c r="K808" s="4">
        <f>Tablo1[[#This Row],[Quantity]]*Tablo1[[#This Row],[Unit_Price]]</f>
        <v>26201</v>
      </c>
      <c r="L808" s="4">
        <f>Tablo1[[#This Row],[Sales]]-(Tablo1[[#This Row],[Quantity]]*Tablo1[[#This Row],[Unit_Cost]])</f>
        <v>11767</v>
      </c>
    </row>
    <row r="809" spans="1:12" x14ac:dyDescent="0.3">
      <c r="A809" s="2">
        <v>1808</v>
      </c>
      <c r="B809" s="7">
        <v>45394</v>
      </c>
      <c r="C809" s="8" t="s">
        <v>75</v>
      </c>
      <c r="D809" s="2" t="s">
        <v>13</v>
      </c>
      <c r="E809" s="2" t="s">
        <v>38</v>
      </c>
      <c r="F809" s="2" t="s">
        <v>50</v>
      </c>
      <c r="G809" s="2" t="s">
        <v>28</v>
      </c>
      <c r="H809" s="2">
        <v>7</v>
      </c>
      <c r="I809" s="4">
        <v>1560</v>
      </c>
      <c r="J809" s="4">
        <v>796</v>
      </c>
      <c r="K809" s="4">
        <f>Tablo1[[#This Row],[Quantity]]*Tablo1[[#This Row],[Unit_Price]]</f>
        <v>10920</v>
      </c>
      <c r="L809" s="4">
        <f>Tablo1[[#This Row],[Sales]]-(Tablo1[[#This Row],[Quantity]]*Tablo1[[#This Row],[Unit_Cost]])</f>
        <v>5348</v>
      </c>
    </row>
    <row r="810" spans="1:12" x14ac:dyDescent="0.3">
      <c r="A810" s="2">
        <v>1809</v>
      </c>
      <c r="B810" s="7">
        <v>45525</v>
      </c>
      <c r="C810" s="8" t="s">
        <v>76</v>
      </c>
      <c r="D810" s="2" t="s">
        <v>32</v>
      </c>
      <c r="E810" s="2" t="s">
        <v>23</v>
      </c>
      <c r="F810" s="2" t="s">
        <v>48</v>
      </c>
      <c r="G810" s="2" t="s">
        <v>34</v>
      </c>
      <c r="H810" s="2">
        <v>6</v>
      </c>
      <c r="I810" s="4">
        <v>6527</v>
      </c>
      <c r="J810" s="4">
        <v>4502</v>
      </c>
      <c r="K810" s="4">
        <f>Tablo1[[#This Row],[Quantity]]*Tablo1[[#This Row],[Unit_Price]]</f>
        <v>39162</v>
      </c>
      <c r="L810" s="4">
        <f>Tablo1[[#This Row],[Sales]]-(Tablo1[[#This Row],[Quantity]]*Tablo1[[#This Row],[Unit_Cost]])</f>
        <v>12150</v>
      </c>
    </row>
    <row r="811" spans="1:12" x14ac:dyDescent="0.3">
      <c r="A811" s="2">
        <v>1810</v>
      </c>
      <c r="B811" s="7">
        <v>45505</v>
      </c>
      <c r="C811" s="8" t="s">
        <v>75</v>
      </c>
      <c r="D811" s="2" t="s">
        <v>15</v>
      </c>
      <c r="E811" s="2" t="s">
        <v>26</v>
      </c>
      <c r="F811" s="2" t="s">
        <v>50</v>
      </c>
      <c r="G811" s="2" t="s">
        <v>28</v>
      </c>
      <c r="H811" s="2">
        <v>1</v>
      </c>
      <c r="I811" s="4">
        <v>1957</v>
      </c>
      <c r="J811" s="4">
        <v>1374</v>
      </c>
      <c r="K811" s="4">
        <f>Tablo1[[#This Row],[Quantity]]*Tablo1[[#This Row],[Unit_Price]]</f>
        <v>1957</v>
      </c>
      <c r="L811" s="4">
        <f>Tablo1[[#This Row],[Sales]]-(Tablo1[[#This Row],[Quantity]]*Tablo1[[#This Row],[Unit_Cost]])</f>
        <v>583</v>
      </c>
    </row>
    <row r="812" spans="1:12" x14ac:dyDescent="0.3">
      <c r="A812" s="2">
        <v>1811</v>
      </c>
      <c r="B812" s="7">
        <v>45648</v>
      </c>
      <c r="C812" s="8" t="s">
        <v>74</v>
      </c>
      <c r="D812" s="2" t="s">
        <v>41</v>
      </c>
      <c r="E812" s="2" t="s">
        <v>26</v>
      </c>
      <c r="F812" s="2" t="s">
        <v>50</v>
      </c>
      <c r="G812" s="2" t="s">
        <v>28</v>
      </c>
      <c r="H812" s="2">
        <v>3</v>
      </c>
      <c r="I812" s="4">
        <v>2594</v>
      </c>
      <c r="J812" s="4">
        <v>1373</v>
      </c>
      <c r="K812" s="4">
        <f>Tablo1[[#This Row],[Quantity]]*Tablo1[[#This Row],[Unit_Price]]</f>
        <v>7782</v>
      </c>
      <c r="L812" s="4">
        <f>Tablo1[[#This Row],[Sales]]-(Tablo1[[#This Row],[Quantity]]*Tablo1[[#This Row],[Unit_Cost]])</f>
        <v>3663</v>
      </c>
    </row>
    <row r="813" spans="1:12" x14ac:dyDescent="0.3">
      <c r="A813" s="2">
        <v>1812</v>
      </c>
      <c r="B813" s="7">
        <v>45419</v>
      </c>
      <c r="C813" s="8" t="s">
        <v>73</v>
      </c>
      <c r="D813" s="2" t="s">
        <v>41</v>
      </c>
      <c r="E813" s="2" t="s">
        <v>23</v>
      </c>
      <c r="F813" s="2" t="s">
        <v>49</v>
      </c>
      <c r="G813" s="2" t="s">
        <v>12</v>
      </c>
      <c r="H813" s="2">
        <v>4</v>
      </c>
      <c r="I813" s="4">
        <v>23940</v>
      </c>
      <c r="J813" s="4">
        <v>14453</v>
      </c>
      <c r="K813" s="4">
        <f>Tablo1[[#This Row],[Quantity]]*Tablo1[[#This Row],[Unit_Price]]</f>
        <v>95760</v>
      </c>
      <c r="L813" s="4">
        <f>Tablo1[[#This Row],[Sales]]-(Tablo1[[#This Row],[Quantity]]*Tablo1[[#This Row],[Unit_Cost]])</f>
        <v>37948</v>
      </c>
    </row>
    <row r="814" spans="1:12" x14ac:dyDescent="0.3">
      <c r="A814" s="2">
        <v>1813</v>
      </c>
      <c r="B814" s="7">
        <v>45561</v>
      </c>
      <c r="C814" s="8" t="s">
        <v>73</v>
      </c>
      <c r="D814" s="2" t="s">
        <v>44</v>
      </c>
      <c r="E814" s="2" t="s">
        <v>26</v>
      </c>
      <c r="F814" s="2" t="s">
        <v>27</v>
      </c>
      <c r="G814" s="2" t="s">
        <v>28</v>
      </c>
      <c r="H814" s="2">
        <v>8</v>
      </c>
      <c r="I814" s="4">
        <v>1012</v>
      </c>
      <c r="J814" s="4">
        <v>777</v>
      </c>
      <c r="K814" s="4">
        <f>Tablo1[[#This Row],[Quantity]]*Tablo1[[#This Row],[Unit_Price]]</f>
        <v>8096</v>
      </c>
      <c r="L814" s="4">
        <f>Tablo1[[#This Row],[Sales]]-(Tablo1[[#This Row],[Quantity]]*Tablo1[[#This Row],[Unit_Cost]])</f>
        <v>1880</v>
      </c>
    </row>
    <row r="815" spans="1:12" x14ac:dyDescent="0.3">
      <c r="A815" s="2">
        <v>1814</v>
      </c>
      <c r="B815" s="7">
        <v>45648</v>
      </c>
      <c r="C815" s="8" t="s">
        <v>75</v>
      </c>
      <c r="D815" s="2" t="s">
        <v>32</v>
      </c>
      <c r="E815" s="2" t="s">
        <v>26</v>
      </c>
      <c r="F815" s="2" t="s">
        <v>40</v>
      </c>
      <c r="G815" s="2" t="s">
        <v>25</v>
      </c>
      <c r="H815" s="2">
        <v>1</v>
      </c>
      <c r="I815" s="4">
        <v>2798</v>
      </c>
      <c r="J815" s="4">
        <v>1650</v>
      </c>
      <c r="K815" s="4">
        <f>Tablo1[[#This Row],[Quantity]]*Tablo1[[#This Row],[Unit_Price]]</f>
        <v>2798</v>
      </c>
      <c r="L815" s="4">
        <f>Tablo1[[#This Row],[Sales]]-(Tablo1[[#This Row],[Quantity]]*Tablo1[[#This Row],[Unit_Cost]])</f>
        <v>1148</v>
      </c>
    </row>
    <row r="816" spans="1:12" x14ac:dyDescent="0.3">
      <c r="A816" s="2">
        <v>1815</v>
      </c>
      <c r="B816" s="7">
        <v>45518</v>
      </c>
      <c r="C816" s="8" t="s">
        <v>74</v>
      </c>
      <c r="D816" s="2" t="s">
        <v>35</v>
      </c>
      <c r="E816" s="2" t="s">
        <v>26</v>
      </c>
      <c r="F816" s="2" t="s">
        <v>37</v>
      </c>
      <c r="G816" s="2" t="s">
        <v>28</v>
      </c>
      <c r="H816" s="2">
        <v>5</v>
      </c>
      <c r="I816" s="4">
        <v>654</v>
      </c>
      <c r="J816" s="4">
        <v>373</v>
      </c>
      <c r="K816" s="4">
        <f>Tablo1[[#This Row],[Quantity]]*Tablo1[[#This Row],[Unit_Price]]</f>
        <v>3270</v>
      </c>
      <c r="L816" s="4">
        <f>Tablo1[[#This Row],[Sales]]-(Tablo1[[#This Row],[Quantity]]*Tablo1[[#This Row],[Unit_Cost]])</f>
        <v>1405</v>
      </c>
    </row>
    <row r="817" spans="1:12" x14ac:dyDescent="0.3">
      <c r="A817" s="2">
        <v>1816</v>
      </c>
      <c r="B817" s="7">
        <v>45635</v>
      </c>
      <c r="C817" s="8" t="s">
        <v>76</v>
      </c>
      <c r="D817" s="2" t="s">
        <v>19</v>
      </c>
      <c r="E817" s="2" t="s">
        <v>23</v>
      </c>
      <c r="F817" s="2" t="s">
        <v>50</v>
      </c>
      <c r="G817" s="2" t="s">
        <v>28</v>
      </c>
      <c r="H817" s="2">
        <v>3</v>
      </c>
      <c r="I817" s="4">
        <v>2753</v>
      </c>
      <c r="J817" s="4">
        <v>1944</v>
      </c>
      <c r="K817" s="4">
        <f>Tablo1[[#This Row],[Quantity]]*Tablo1[[#This Row],[Unit_Price]]</f>
        <v>8259</v>
      </c>
      <c r="L817" s="4">
        <f>Tablo1[[#This Row],[Sales]]-(Tablo1[[#This Row],[Quantity]]*Tablo1[[#This Row],[Unit_Cost]])</f>
        <v>2427</v>
      </c>
    </row>
    <row r="818" spans="1:12" x14ac:dyDescent="0.3">
      <c r="A818" s="2">
        <v>1817</v>
      </c>
      <c r="B818" s="7">
        <v>45525</v>
      </c>
      <c r="C818" s="8" t="s">
        <v>75</v>
      </c>
      <c r="D818" s="2" t="s">
        <v>41</v>
      </c>
      <c r="E818" s="2" t="s">
        <v>30</v>
      </c>
      <c r="F818" s="2" t="s">
        <v>11</v>
      </c>
      <c r="G818" s="2" t="s">
        <v>12</v>
      </c>
      <c r="H818" s="2">
        <v>8</v>
      </c>
      <c r="I818" s="4">
        <v>17379</v>
      </c>
      <c r="J818" s="4">
        <v>13186</v>
      </c>
      <c r="K818" s="4">
        <f>Tablo1[[#This Row],[Quantity]]*Tablo1[[#This Row],[Unit_Price]]</f>
        <v>139032</v>
      </c>
      <c r="L818" s="4">
        <f>Tablo1[[#This Row],[Sales]]-(Tablo1[[#This Row],[Quantity]]*Tablo1[[#This Row],[Unit_Cost]])</f>
        <v>33544</v>
      </c>
    </row>
    <row r="819" spans="1:12" x14ac:dyDescent="0.3">
      <c r="A819" s="2">
        <v>1818</v>
      </c>
      <c r="B819" s="7">
        <v>45338</v>
      </c>
      <c r="C819" s="8" t="s">
        <v>73</v>
      </c>
      <c r="D819" s="2" t="s">
        <v>19</v>
      </c>
      <c r="E819" s="2" t="s">
        <v>26</v>
      </c>
      <c r="F819" s="2" t="s">
        <v>33</v>
      </c>
      <c r="G819" s="2" t="s">
        <v>34</v>
      </c>
      <c r="H819" s="2">
        <v>1</v>
      </c>
      <c r="I819" s="4">
        <v>2053</v>
      </c>
      <c r="J819" s="4">
        <v>1152</v>
      </c>
      <c r="K819" s="4">
        <f>Tablo1[[#This Row],[Quantity]]*Tablo1[[#This Row],[Unit_Price]]</f>
        <v>2053</v>
      </c>
      <c r="L819" s="4">
        <f>Tablo1[[#This Row],[Sales]]-(Tablo1[[#This Row],[Quantity]]*Tablo1[[#This Row],[Unit_Cost]])</f>
        <v>901</v>
      </c>
    </row>
    <row r="820" spans="1:12" x14ac:dyDescent="0.3">
      <c r="A820" s="2">
        <v>1819</v>
      </c>
      <c r="B820" s="7">
        <v>45305</v>
      </c>
      <c r="C820" s="8" t="s">
        <v>76</v>
      </c>
      <c r="D820" s="2" t="s">
        <v>43</v>
      </c>
      <c r="E820" s="2" t="s">
        <v>20</v>
      </c>
      <c r="F820" s="2" t="s">
        <v>16</v>
      </c>
      <c r="G820" s="2" t="s">
        <v>17</v>
      </c>
      <c r="H820" s="2">
        <v>6</v>
      </c>
      <c r="I820" s="4">
        <v>2063</v>
      </c>
      <c r="J820" s="4">
        <v>1053</v>
      </c>
      <c r="K820" s="4">
        <f>Tablo1[[#This Row],[Quantity]]*Tablo1[[#This Row],[Unit_Price]]</f>
        <v>12378</v>
      </c>
      <c r="L820" s="4">
        <f>Tablo1[[#This Row],[Sales]]-(Tablo1[[#This Row],[Quantity]]*Tablo1[[#This Row],[Unit_Cost]])</f>
        <v>6060</v>
      </c>
    </row>
    <row r="821" spans="1:12" x14ac:dyDescent="0.3">
      <c r="A821" s="2">
        <v>1820</v>
      </c>
      <c r="B821" s="7">
        <v>45394</v>
      </c>
      <c r="C821" s="8" t="s">
        <v>74</v>
      </c>
      <c r="D821" s="2" t="s">
        <v>35</v>
      </c>
      <c r="E821" s="2" t="s">
        <v>26</v>
      </c>
      <c r="F821" s="2" t="s">
        <v>14</v>
      </c>
      <c r="G821" s="2" t="s">
        <v>12</v>
      </c>
      <c r="H821" s="2">
        <v>6</v>
      </c>
      <c r="I821" s="4">
        <v>19335</v>
      </c>
      <c r="J821" s="4">
        <v>9864</v>
      </c>
      <c r="K821" s="4">
        <f>Tablo1[[#This Row],[Quantity]]*Tablo1[[#This Row],[Unit_Price]]</f>
        <v>116010</v>
      </c>
      <c r="L821" s="4">
        <f>Tablo1[[#This Row],[Sales]]-(Tablo1[[#This Row],[Quantity]]*Tablo1[[#This Row],[Unit_Cost]])</f>
        <v>56826</v>
      </c>
    </row>
    <row r="822" spans="1:12" x14ac:dyDescent="0.3">
      <c r="A822" s="2">
        <v>1821</v>
      </c>
      <c r="B822" s="7">
        <v>45448</v>
      </c>
      <c r="C822" s="8" t="s">
        <v>77</v>
      </c>
      <c r="D822" s="2" t="s">
        <v>19</v>
      </c>
      <c r="E822" s="2" t="s">
        <v>30</v>
      </c>
      <c r="F822" s="2" t="s">
        <v>46</v>
      </c>
      <c r="G822" s="2" t="s">
        <v>17</v>
      </c>
      <c r="H822" s="2">
        <v>5</v>
      </c>
      <c r="I822" s="4">
        <v>8083</v>
      </c>
      <c r="J822" s="4">
        <v>5568</v>
      </c>
      <c r="K822" s="4">
        <f>Tablo1[[#This Row],[Quantity]]*Tablo1[[#This Row],[Unit_Price]]</f>
        <v>40415</v>
      </c>
      <c r="L822" s="4">
        <f>Tablo1[[#This Row],[Sales]]-(Tablo1[[#This Row],[Quantity]]*Tablo1[[#This Row],[Unit_Cost]])</f>
        <v>12575</v>
      </c>
    </row>
    <row r="823" spans="1:12" x14ac:dyDescent="0.3">
      <c r="A823" s="2">
        <v>1822</v>
      </c>
      <c r="B823" s="7">
        <v>45458</v>
      </c>
      <c r="C823" s="8" t="s">
        <v>75</v>
      </c>
      <c r="D823" s="2" t="s">
        <v>22</v>
      </c>
      <c r="E823" s="2" t="s">
        <v>38</v>
      </c>
      <c r="F823" s="2" t="s">
        <v>46</v>
      </c>
      <c r="G823" s="2" t="s">
        <v>17</v>
      </c>
      <c r="H823" s="2">
        <v>6</v>
      </c>
      <c r="I823" s="4">
        <v>10749</v>
      </c>
      <c r="J823" s="4">
        <v>7183</v>
      </c>
      <c r="K823" s="4">
        <f>Tablo1[[#This Row],[Quantity]]*Tablo1[[#This Row],[Unit_Price]]</f>
        <v>64494</v>
      </c>
      <c r="L823" s="4">
        <f>Tablo1[[#This Row],[Sales]]-(Tablo1[[#This Row],[Quantity]]*Tablo1[[#This Row],[Unit_Cost]])</f>
        <v>21396</v>
      </c>
    </row>
    <row r="824" spans="1:12" x14ac:dyDescent="0.3">
      <c r="A824" s="2">
        <v>1823</v>
      </c>
      <c r="B824" s="7">
        <v>45467</v>
      </c>
      <c r="C824" s="8" t="s">
        <v>76</v>
      </c>
      <c r="D824" s="2" t="s">
        <v>35</v>
      </c>
      <c r="E824" s="2" t="s">
        <v>30</v>
      </c>
      <c r="F824" s="2" t="s">
        <v>50</v>
      </c>
      <c r="G824" s="2" t="s">
        <v>28</v>
      </c>
      <c r="H824" s="2">
        <v>10</v>
      </c>
      <c r="I824" s="4">
        <v>684</v>
      </c>
      <c r="J824" s="4">
        <v>431</v>
      </c>
      <c r="K824" s="4">
        <f>Tablo1[[#This Row],[Quantity]]*Tablo1[[#This Row],[Unit_Price]]</f>
        <v>6840</v>
      </c>
      <c r="L824" s="4">
        <f>Tablo1[[#This Row],[Sales]]-(Tablo1[[#This Row],[Quantity]]*Tablo1[[#This Row],[Unit_Cost]])</f>
        <v>2530</v>
      </c>
    </row>
    <row r="825" spans="1:12" x14ac:dyDescent="0.3">
      <c r="A825" s="2">
        <v>1824</v>
      </c>
      <c r="B825" s="7">
        <v>45348</v>
      </c>
      <c r="C825" s="8" t="s">
        <v>75</v>
      </c>
      <c r="D825" s="2" t="s">
        <v>32</v>
      </c>
      <c r="E825" s="2" t="s">
        <v>23</v>
      </c>
      <c r="F825" s="2" t="s">
        <v>47</v>
      </c>
      <c r="G825" s="2" t="s">
        <v>25</v>
      </c>
      <c r="H825" s="2">
        <v>10</v>
      </c>
      <c r="I825" s="4">
        <v>3925</v>
      </c>
      <c r="J825" s="4">
        <v>2463</v>
      </c>
      <c r="K825" s="4">
        <f>Tablo1[[#This Row],[Quantity]]*Tablo1[[#This Row],[Unit_Price]]</f>
        <v>39250</v>
      </c>
      <c r="L825" s="4">
        <f>Tablo1[[#This Row],[Sales]]-(Tablo1[[#This Row],[Quantity]]*Tablo1[[#This Row],[Unit_Cost]])</f>
        <v>14620</v>
      </c>
    </row>
    <row r="826" spans="1:12" x14ac:dyDescent="0.3">
      <c r="A826" s="2">
        <v>1825</v>
      </c>
      <c r="B826" s="7">
        <v>45491</v>
      </c>
      <c r="C826" s="8" t="s">
        <v>74</v>
      </c>
      <c r="D826" s="2" t="s">
        <v>35</v>
      </c>
      <c r="E826" s="2" t="s">
        <v>23</v>
      </c>
      <c r="F826" s="2" t="s">
        <v>31</v>
      </c>
      <c r="G826" s="2" t="s">
        <v>17</v>
      </c>
      <c r="H826" s="2">
        <v>6</v>
      </c>
      <c r="I826" s="4">
        <v>2430</v>
      </c>
      <c r="J826" s="4">
        <v>1763</v>
      </c>
      <c r="K826" s="4">
        <f>Tablo1[[#This Row],[Quantity]]*Tablo1[[#This Row],[Unit_Price]]</f>
        <v>14580</v>
      </c>
      <c r="L826" s="4">
        <f>Tablo1[[#This Row],[Sales]]-(Tablo1[[#This Row],[Quantity]]*Tablo1[[#This Row],[Unit_Cost]])</f>
        <v>4002</v>
      </c>
    </row>
    <row r="827" spans="1:12" x14ac:dyDescent="0.3">
      <c r="A827" s="2">
        <v>1826</v>
      </c>
      <c r="B827" s="7">
        <v>45359</v>
      </c>
      <c r="C827" s="8" t="s">
        <v>73</v>
      </c>
      <c r="D827" s="2" t="s">
        <v>32</v>
      </c>
      <c r="E827" s="2" t="s">
        <v>38</v>
      </c>
      <c r="F827" s="2" t="s">
        <v>21</v>
      </c>
      <c r="G827" s="2" t="s">
        <v>17</v>
      </c>
      <c r="H827" s="2">
        <v>7</v>
      </c>
      <c r="I827" s="4">
        <v>9685</v>
      </c>
      <c r="J827" s="4">
        <v>7659</v>
      </c>
      <c r="K827" s="4">
        <f>Tablo1[[#This Row],[Quantity]]*Tablo1[[#This Row],[Unit_Price]]</f>
        <v>67795</v>
      </c>
      <c r="L827" s="4">
        <f>Tablo1[[#This Row],[Sales]]-(Tablo1[[#This Row],[Quantity]]*Tablo1[[#This Row],[Unit_Cost]])</f>
        <v>14182</v>
      </c>
    </row>
    <row r="828" spans="1:12" x14ac:dyDescent="0.3">
      <c r="A828" s="2">
        <v>1827</v>
      </c>
      <c r="B828" s="7">
        <v>45481</v>
      </c>
      <c r="C828" s="8" t="s">
        <v>73</v>
      </c>
      <c r="D828" s="2" t="s">
        <v>10</v>
      </c>
      <c r="E828" s="2" t="s">
        <v>38</v>
      </c>
      <c r="F828" s="2" t="s">
        <v>47</v>
      </c>
      <c r="G828" s="2" t="s">
        <v>25</v>
      </c>
      <c r="H828" s="2">
        <v>8</v>
      </c>
      <c r="I828" s="4">
        <v>3773</v>
      </c>
      <c r="J828" s="4">
        <v>2338</v>
      </c>
      <c r="K828" s="4">
        <f>Tablo1[[#This Row],[Quantity]]*Tablo1[[#This Row],[Unit_Price]]</f>
        <v>30184</v>
      </c>
      <c r="L828" s="4">
        <f>Tablo1[[#This Row],[Sales]]-(Tablo1[[#This Row],[Quantity]]*Tablo1[[#This Row],[Unit_Cost]])</f>
        <v>11480</v>
      </c>
    </row>
    <row r="829" spans="1:12" x14ac:dyDescent="0.3">
      <c r="A829" s="2">
        <v>1828</v>
      </c>
      <c r="B829" s="7">
        <v>45583</v>
      </c>
      <c r="C829" s="8" t="s">
        <v>75</v>
      </c>
      <c r="D829" s="2" t="s">
        <v>13</v>
      </c>
      <c r="E829" s="2" t="s">
        <v>23</v>
      </c>
      <c r="F829" s="2" t="s">
        <v>14</v>
      </c>
      <c r="G829" s="2" t="s">
        <v>12</v>
      </c>
      <c r="H829" s="2">
        <v>2</v>
      </c>
      <c r="I829" s="4">
        <v>13711</v>
      </c>
      <c r="J829" s="4">
        <v>9080</v>
      </c>
      <c r="K829" s="4">
        <f>Tablo1[[#This Row],[Quantity]]*Tablo1[[#This Row],[Unit_Price]]</f>
        <v>27422</v>
      </c>
      <c r="L829" s="4">
        <f>Tablo1[[#This Row],[Sales]]-(Tablo1[[#This Row],[Quantity]]*Tablo1[[#This Row],[Unit_Cost]])</f>
        <v>9262</v>
      </c>
    </row>
    <row r="830" spans="1:12" x14ac:dyDescent="0.3">
      <c r="A830" s="2">
        <v>1829</v>
      </c>
      <c r="B830" s="7">
        <v>45609</v>
      </c>
      <c r="C830" s="8" t="s">
        <v>74</v>
      </c>
      <c r="D830" s="2" t="s">
        <v>44</v>
      </c>
      <c r="E830" s="2" t="s">
        <v>23</v>
      </c>
      <c r="F830" s="2" t="s">
        <v>31</v>
      </c>
      <c r="G830" s="2" t="s">
        <v>17</v>
      </c>
      <c r="H830" s="2">
        <v>9</v>
      </c>
      <c r="I830" s="4">
        <v>2507</v>
      </c>
      <c r="J830" s="4">
        <v>1745</v>
      </c>
      <c r="K830" s="4">
        <f>Tablo1[[#This Row],[Quantity]]*Tablo1[[#This Row],[Unit_Price]]</f>
        <v>22563</v>
      </c>
      <c r="L830" s="4">
        <f>Tablo1[[#This Row],[Sales]]-(Tablo1[[#This Row],[Quantity]]*Tablo1[[#This Row],[Unit_Cost]])</f>
        <v>6858</v>
      </c>
    </row>
    <row r="831" spans="1:12" x14ac:dyDescent="0.3">
      <c r="A831" s="2">
        <v>1830</v>
      </c>
      <c r="B831" s="7">
        <v>45427</v>
      </c>
      <c r="C831" s="8" t="s">
        <v>76</v>
      </c>
      <c r="D831" s="2" t="s">
        <v>32</v>
      </c>
      <c r="E831" s="2" t="s">
        <v>38</v>
      </c>
      <c r="F831" s="2" t="s">
        <v>37</v>
      </c>
      <c r="G831" s="2" t="s">
        <v>28</v>
      </c>
      <c r="H831" s="2">
        <v>3</v>
      </c>
      <c r="I831" s="4">
        <v>2522</v>
      </c>
      <c r="J831" s="4">
        <v>1779</v>
      </c>
      <c r="K831" s="4">
        <f>Tablo1[[#This Row],[Quantity]]*Tablo1[[#This Row],[Unit_Price]]</f>
        <v>7566</v>
      </c>
      <c r="L831" s="4">
        <f>Tablo1[[#This Row],[Sales]]-(Tablo1[[#This Row],[Quantity]]*Tablo1[[#This Row],[Unit_Cost]])</f>
        <v>2229</v>
      </c>
    </row>
    <row r="832" spans="1:12" x14ac:dyDescent="0.3">
      <c r="A832" s="2">
        <v>1831</v>
      </c>
      <c r="B832" s="7">
        <v>45328</v>
      </c>
      <c r="C832" s="8" t="s">
        <v>75</v>
      </c>
      <c r="D832" s="2" t="s">
        <v>10</v>
      </c>
      <c r="E832" s="2" t="s">
        <v>26</v>
      </c>
      <c r="F832" s="2" t="s">
        <v>36</v>
      </c>
      <c r="G832" s="2" t="s">
        <v>34</v>
      </c>
      <c r="H832" s="2">
        <v>3</v>
      </c>
      <c r="I832" s="4">
        <v>5281</v>
      </c>
      <c r="J832" s="4">
        <v>3640</v>
      </c>
      <c r="K832" s="4">
        <f>Tablo1[[#This Row],[Quantity]]*Tablo1[[#This Row],[Unit_Price]]</f>
        <v>15843</v>
      </c>
      <c r="L832" s="4">
        <f>Tablo1[[#This Row],[Sales]]-(Tablo1[[#This Row],[Quantity]]*Tablo1[[#This Row],[Unit_Cost]])</f>
        <v>4923</v>
      </c>
    </row>
    <row r="833" spans="1:12" x14ac:dyDescent="0.3">
      <c r="A833" s="2">
        <v>1832</v>
      </c>
      <c r="B833" s="7">
        <v>45606</v>
      </c>
      <c r="C833" s="8" t="s">
        <v>73</v>
      </c>
      <c r="D833" s="2" t="s">
        <v>10</v>
      </c>
      <c r="E833" s="2" t="s">
        <v>20</v>
      </c>
      <c r="F833" s="2" t="s">
        <v>45</v>
      </c>
      <c r="G833" s="2" t="s">
        <v>34</v>
      </c>
      <c r="H833" s="2">
        <v>4</v>
      </c>
      <c r="I833" s="4">
        <v>1958</v>
      </c>
      <c r="J833" s="4">
        <v>1108</v>
      </c>
      <c r="K833" s="4">
        <f>Tablo1[[#This Row],[Quantity]]*Tablo1[[#This Row],[Unit_Price]]</f>
        <v>7832</v>
      </c>
      <c r="L833" s="4">
        <f>Tablo1[[#This Row],[Sales]]-(Tablo1[[#This Row],[Quantity]]*Tablo1[[#This Row],[Unit_Cost]])</f>
        <v>3400</v>
      </c>
    </row>
    <row r="834" spans="1:12" x14ac:dyDescent="0.3">
      <c r="A834" s="2">
        <v>1833</v>
      </c>
      <c r="B834" s="7">
        <v>45359</v>
      </c>
      <c r="C834" s="8" t="s">
        <v>76</v>
      </c>
      <c r="D834" s="2" t="s">
        <v>32</v>
      </c>
      <c r="E834" s="2" t="s">
        <v>23</v>
      </c>
      <c r="F834" s="2" t="s">
        <v>27</v>
      </c>
      <c r="G834" s="2" t="s">
        <v>28</v>
      </c>
      <c r="H834" s="2">
        <v>7</v>
      </c>
      <c r="I834" s="4">
        <v>2833</v>
      </c>
      <c r="J834" s="4">
        <v>2195</v>
      </c>
      <c r="K834" s="4">
        <f>Tablo1[[#This Row],[Quantity]]*Tablo1[[#This Row],[Unit_Price]]</f>
        <v>19831</v>
      </c>
      <c r="L834" s="4">
        <f>Tablo1[[#This Row],[Sales]]-(Tablo1[[#This Row],[Quantity]]*Tablo1[[#This Row],[Unit_Cost]])</f>
        <v>4466</v>
      </c>
    </row>
    <row r="835" spans="1:12" x14ac:dyDescent="0.3">
      <c r="A835" s="2">
        <v>1834</v>
      </c>
      <c r="B835" s="7">
        <v>45640</v>
      </c>
      <c r="C835" s="8" t="s">
        <v>74</v>
      </c>
      <c r="D835" s="2" t="s">
        <v>15</v>
      </c>
      <c r="E835" s="2" t="s">
        <v>26</v>
      </c>
      <c r="F835" s="2" t="s">
        <v>50</v>
      </c>
      <c r="G835" s="2" t="s">
        <v>28</v>
      </c>
      <c r="H835" s="2">
        <v>6</v>
      </c>
      <c r="I835" s="4">
        <v>3204</v>
      </c>
      <c r="J835" s="4">
        <v>2450</v>
      </c>
      <c r="K835" s="4">
        <f>Tablo1[[#This Row],[Quantity]]*Tablo1[[#This Row],[Unit_Price]]</f>
        <v>19224</v>
      </c>
      <c r="L835" s="4">
        <f>Tablo1[[#This Row],[Sales]]-(Tablo1[[#This Row],[Quantity]]*Tablo1[[#This Row],[Unit_Cost]])</f>
        <v>4524</v>
      </c>
    </row>
    <row r="836" spans="1:12" x14ac:dyDescent="0.3">
      <c r="A836" s="2">
        <v>1835</v>
      </c>
      <c r="B836" s="7">
        <v>45299</v>
      </c>
      <c r="C836" s="8" t="s">
        <v>77</v>
      </c>
      <c r="D836" s="2" t="s">
        <v>44</v>
      </c>
      <c r="E836" s="2" t="s">
        <v>26</v>
      </c>
      <c r="F836" s="2" t="s">
        <v>50</v>
      </c>
      <c r="G836" s="2" t="s">
        <v>28</v>
      </c>
      <c r="H836" s="2">
        <v>7</v>
      </c>
      <c r="I836" s="4">
        <v>2043</v>
      </c>
      <c r="J836" s="4">
        <v>1200</v>
      </c>
      <c r="K836" s="4">
        <f>Tablo1[[#This Row],[Quantity]]*Tablo1[[#This Row],[Unit_Price]]</f>
        <v>14301</v>
      </c>
      <c r="L836" s="4">
        <f>Tablo1[[#This Row],[Sales]]-(Tablo1[[#This Row],[Quantity]]*Tablo1[[#This Row],[Unit_Cost]])</f>
        <v>5901</v>
      </c>
    </row>
    <row r="837" spans="1:12" x14ac:dyDescent="0.3">
      <c r="A837" s="2">
        <v>1836</v>
      </c>
      <c r="B837" s="7">
        <v>45298</v>
      </c>
      <c r="C837" s="8" t="s">
        <v>75</v>
      </c>
      <c r="D837" s="2" t="s">
        <v>32</v>
      </c>
      <c r="E837" s="2" t="s">
        <v>20</v>
      </c>
      <c r="F837" s="2" t="s">
        <v>39</v>
      </c>
      <c r="G837" s="2" t="s">
        <v>28</v>
      </c>
      <c r="H837" s="2">
        <v>8</v>
      </c>
      <c r="I837" s="4">
        <v>597</v>
      </c>
      <c r="J837" s="4">
        <v>404</v>
      </c>
      <c r="K837" s="4">
        <f>Tablo1[[#This Row],[Quantity]]*Tablo1[[#This Row],[Unit_Price]]</f>
        <v>4776</v>
      </c>
      <c r="L837" s="4">
        <f>Tablo1[[#This Row],[Sales]]-(Tablo1[[#This Row],[Quantity]]*Tablo1[[#This Row],[Unit_Cost]])</f>
        <v>1544</v>
      </c>
    </row>
    <row r="838" spans="1:12" x14ac:dyDescent="0.3">
      <c r="A838" s="2">
        <v>1837</v>
      </c>
      <c r="B838" s="7">
        <v>45306</v>
      </c>
      <c r="C838" s="8" t="s">
        <v>76</v>
      </c>
      <c r="D838" s="2" t="s">
        <v>22</v>
      </c>
      <c r="E838" s="2" t="s">
        <v>30</v>
      </c>
      <c r="F838" s="2" t="s">
        <v>50</v>
      </c>
      <c r="G838" s="2" t="s">
        <v>28</v>
      </c>
      <c r="H838" s="2">
        <v>7</v>
      </c>
      <c r="I838" s="4">
        <v>3794</v>
      </c>
      <c r="J838" s="4">
        <v>3007</v>
      </c>
      <c r="K838" s="4">
        <f>Tablo1[[#This Row],[Quantity]]*Tablo1[[#This Row],[Unit_Price]]</f>
        <v>26558</v>
      </c>
      <c r="L838" s="4">
        <f>Tablo1[[#This Row],[Sales]]-(Tablo1[[#This Row],[Quantity]]*Tablo1[[#This Row],[Unit_Cost]])</f>
        <v>5509</v>
      </c>
    </row>
    <row r="839" spans="1:12" x14ac:dyDescent="0.3">
      <c r="A839" s="2">
        <v>1838</v>
      </c>
      <c r="B839" s="7">
        <v>45570</v>
      </c>
      <c r="C839" s="8" t="s">
        <v>75</v>
      </c>
      <c r="D839" s="2" t="s">
        <v>43</v>
      </c>
      <c r="E839" s="2" t="s">
        <v>30</v>
      </c>
      <c r="F839" s="2" t="s">
        <v>40</v>
      </c>
      <c r="G839" s="2" t="s">
        <v>25</v>
      </c>
      <c r="H839" s="2">
        <v>4</v>
      </c>
      <c r="I839" s="4">
        <v>4678</v>
      </c>
      <c r="J839" s="4">
        <v>2671</v>
      </c>
      <c r="K839" s="4">
        <f>Tablo1[[#This Row],[Quantity]]*Tablo1[[#This Row],[Unit_Price]]</f>
        <v>18712</v>
      </c>
      <c r="L839" s="4">
        <f>Tablo1[[#This Row],[Sales]]-(Tablo1[[#This Row],[Quantity]]*Tablo1[[#This Row],[Unit_Cost]])</f>
        <v>8028</v>
      </c>
    </row>
    <row r="840" spans="1:12" x14ac:dyDescent="0.3">
      <c r="A840" s="2">
        <v>1839</v>
      </c>
      <c r="B840" s="7">
        <v>45295</v>
      </c>
      <c r="C840" s="8" t="s">
        <v>74</v>
      </c>
      <c r="D840" s="2" t="s">
        <v>32</v>
      </c>
      <c r="E840" s="2" t="s">
        <v>38</v>
      </c>
      <c r="F840" s="2" t="s">
        <v>31</v>
      </c>
      <c r="G840" s="2" t="s">
        <v>17</v>
      </c>
      <c r="H840" s="2">
        <v>3</v>
      </c>
      <c r="I840" s="4">
        <v>10661</v>
      </c>
      <c r="J840" s="4">
        <v>7755</v>
      </c>
      <c r="K840" s="4">
        <f>Tablo1[[#This Row],[Quantity]]*Tablo1[[#This Row],[Unit_Price]]</f>
        <v>31983</v>
      </c>
      <c r="L840" s="4">
        <f>Tablo1[[#This Row],[Sales]]-(Tablo1[[#This Row],[Quantity]]*Tablo1[[#This Row],[Unit_Cost]])</f>
        <v>8718</v>
      </c>
    </row>
    <row r="841" spans="1:12" x14ac:dyDescent="0.3">
      <c r="A841" s="2">
        <v>1840</v>
      </c>
      <c r="B841" s="7">
        <v>45602</v>
      </c>
      <c r="C841" s="8" t="s">
        <v>73</v>
      </c>
      <c r="D841" s="2" t="s">
        <v>43</v>
      </c>
      <c r="E841" s="2" t="s">
        <v>26</v>
      </c>
      <c r="F841" s="2" t="s">
        <v>42</v>
      </c>
      <c r="G841" s="2" t="s">
        <v>12</v>
      </c>
      <c r="H841" s="2">
        <v>2</v>
      </c>
      <c r="I841" s="4">
        <v>22406</v>
      </c>
      <c r="J841" s="4">
        <v>14888</v>
      </c>
      <c r="K841" s="4">
        <f>Tablo1[[#This Row],[Quantity]]*Tablo1[[#This Row],[Unit_Price]]</f>
        <v>44812</v>
      </c>
      <c r="L841" s="4">
        <f>Tablo1[[#This Row],[Sales]]-(Tablo1[[#This Row],[Quantity]]*Tablo1[[#This Row],[Unit_Cost]])</f>
        <v>15036</v>
      </c>
    </row>
    <row r="842" spans="1:12" x14ac:dyDescent="0.3">
      <c r="A842" s="2">
        <v>1841</v>
      </c>
      <c r="B842" s="7">
        <v>45311</v>
      </c>
      <c r="C842" s="8" t="s">
        <v>73</v>
      </c>
      <c r="D842" s="2" t="s">
        <v>19</v>
      </c>
      <c r="E842" s="2" t="s">
        <v>20</v>
      </c>
      <c r="F842" s="2" t="s">
        <v>47</v>
      </c>
      <c r="G842" s="2" t="s">
        <v>25</v>
      </c>
      <c r="H842" s="2">
        <v>4</v>
      </c>
      <c r="I842" s="4">
        <v>6161</v>
      </c>
      <c r="J842" s="4">
        <v>3267</v>
      </c>
      <c r="K842" s="4">
        <f>Tablo1[[#This Row],[Quantity]]*Tablo1[[#This Row],[Unit_Price]]</f>
        <v>24644</v>
      </c>
      <c r="L842" s="4">
        <f>Tablo1[[#This Row],[Sales]]-(Tablo1[[#This Row],[Quantity]]*Tablo1[[#This Row],[Unit_Cost]])</f>
        <v>11576</v>
      </c>
    </row>
    <row r="843" spans="1:12" x14ac:dyDescent="0.3">
      <c r="A843" s="2">
        <v>1842</v>
      </c>
      <c r="B843" s="7">
        <v>45565</v>
      </c>
      <c r="C843" s="8" t="s">
        <v>75</v>
      </c>
      <c r="D843" s="2" t="s">
        <v>22</v>
      </c>
      <c r="E843" s="2" t="s">
        <v>23</v>
      </c>
      <c r="F843" s="2" t="s">
        <v>31</v>
      </c>
      <c r="G843" s="2" t="s">
        <v>17</v>
      </c>
      <c r="H843" s="2">
        <v>3</v>
      </c>
      <c r="I843" s="4">
        <v>5188</v>
      </c>
      <c r="J843" s="4">
        <v>3840</v>
      </c>
      <c r="K843" s="4">
        <f>Tablo1[[#This Row],[Quantity]]*Tablo1[[#This Row],[Unit_Price]]</f>
        <v>15564</v>
      </c>
      <c r="L843" s="4">
        <f>Tablo1[[#This Row],[Sales]]-(Tablo1[[#This Row],[Quantity]]*Tablo1[[#This Row],[Unit_Cost]])</f>
        <v>4044</v>
      </c>
    </row>
    <row r="844" spans="1:12" x14ac:dyDescent="0.3">
      <c r="A844" s="2">
        <v>1843</v>
      </c>
      <c r="B844" s="7">
        <v>45364</v>
      </c>
      <c r="C844" s="8" t="s">
        <v>74</v>
      </c>
      <c r="D844" s="2" t="s">
        <v>32</v>
      </c>
      <c r="E844" s="2" t="s">
        <v>20</v>
      </c>
      <c r="F844" s="2" t="s">
        <v>21</v>
      </c>
      <c r="G844" s="2" t="s">
        <v>17</v>
      </c>
      <c r="H844" s="2">
        <v>10</v>
      </c>
      <c r="I844" s="4">
        <v>7298</v>
      </c>
      <c r="J844" s="4">
        <v>3893</v>
      </c>
      <c r="K844" s="4">
        <f>Tablo1[[#This Row],[Quantity]]*Tablo1[[#This Row],[Unit_Price]]</f>
        <v>72980</v>
      </c>
      <c r="L844" s="4">
        <f>Tablo1[[#This Row],[Sales]]-(Tablo1[[#This Row],[Quantity]]*Tablo1[[#This Row],[Unit_Cost]])</f>
        <v>34050</v>
      </c>
    </row>
    <row r="845" spans="1:12" x14ac:dyDescent="0.3">
      <c r="A845" s="2">
        <v>1844</v>
      </c>
      <c r="B845" s="7">
        <v>45439</v>
      </c>
      <c r="C845" s="8" t="s">
        <v>76</v>
      </c>
      <c r="D845" s="2" t="s">
        <v>41</v>
      </c>
      <c r="E845" s="2" t="s">
        <v>20</v>
      </c>
      <c r="F845" s="2" t="s">
        <v>21</v>
      </c>
      <c r="G845" s="2" t="s">
        <v>17</v>
      </c>
      <c r="H845" s="2">
        <v>5</v>
      </c>
      <c r="I845" s="4">
        <v>1790</v>
      </c>
      <c r="J845" s="4">
        <v>1143</v>
      </c>
      <c r="K845" s="4">
        <f>Tablo1[[#This Row],[Quantity]]*Tablo1[[#This Row],[Unit_Price]]</f>
        <v>8950</v>
      </c>
      <c r="L845" s="4">
        <f>Tablo1[[#This Row],[Sales]]-(Tablo1[[#This Row],[Quantity]]*Tablo1[[#This Row],[Unit_Cost]])</f>
        <v>3235</v>
      </c>
    </row>
    <row r="846" spans="1:12" x14ac:dyDescent="0.3">
      <c r="A846" s="2">
        <v>1845</v>
      </c>
      <c r="B846" s="7">
        <v>45435</v>
      </c>
      <c r="C846" s="8" t="s">
        <v>75</v>
      </c>
      <c r="D846" s="2" t="s">
        <v>19</v>
      </c>
      <c r="E846" s="2" t="s">
        <v>38</v>
      </c>
      <c r="F846" s="2" t="s">
        <v>27</v>
      </c>
      <c r="G846" s="2" t="s">
        <v>28</v>
      </c>
      <c r="H846" s="2">
        <v>9</v>
      </c>
      <c r="I846" s="4">
        <v>3251</v>
      </c>
      <c r="J846" s="4">
        <v>2138</v>
      </c>
      <c r="K846" s="4">
        <f>Tablo1[[#This Row],[Quantity]]*Tablo1[[#This Row],[Unit_Price]]</f>
        <v>29259</v>
      </c>
      <c r="L846" s="4">
        <f>Tablo1[[#This Row],[Sales]]-(Tablo1[[#This Row],[Quantity]]*Tablo1[[#This Row],[Unit_Cost]])</f>
        <v>10017</v>
      </c>
    </row>
    <row r="847" spans="1:12" x14ac:dyDescent="0.3">
      <c r="A847" s="2">
        <v>1846</v>
      </c>
      <c r="B847" s="7">
        <v>45374</v>
      </c>
      <c r="C847" s="8" t="s">
        <v>73</v>
      </c>
      <c r="D847" s="2" t="s">
        <v>41</v>
      </c>
      <c r="E847" s="2" t="s">
        <v>38</v>
      </c>
      <c r="F847" s="2" t="s">
        <v>49</v>
      </c>
      <c r="G847" s="2" t="s">
        <v>12</v>
      </c>
      <c r="H847" s="2">
        <v>10</v>
      </c>
      <c r="I847" s="4">
        <v>12305</v>
      </c>
      <c r="J847" s="4">
        <v>6171</v>
      </c>
      <c r="K847" s="4">
        <f>Tablo1[[#This Row],[Quantity]]*Tablo1[[#This Row],[Unit_Price]]</f>
        <v>123050</v>
      </c>
      <c r="L847" s="4">
        <f>Tablo1[[#This Row],[Sales]]-(Tablo1[[#This Row],[Quantity]]*Tablo1[[#This Row],[Unit_Cost]])</f>
        <v>61340</v>
      </c>
    </row>
    <row r="848" spans="1:12" x14ac:dyDescent="0.3">
      <c r="A848" s="2">
        <v>1847</v>
      </c>
      <c r="B848" s="7">
        <v>45638</v>
      </c>
      <c r="C848" s="8" t="s">
        <v>76</v>
      </c>
      <c r="D848" s="2" t="s">
        <v>41</v>
      </c>
      <c r="E848" s="2" t="s">
        <v>30</v>
      </c>
      <c r="F848" s="2" t="s">
        <v>33</v>
      </c>
      <c r="G848" s="2" t="s">
        <v>34</v>
      </c>
      <c r="H848" s="2">
        <v>10</v>
      </c>
      <c r="I848" s="4">
        <v>2558</v>
      </c>
      <c r="J848" s="4">
        <v>1530</v>
      </c>
      <c r="K848" s="4">
        <f>Tablo1[[#This Row],[Quantity]]*Tablo1[[#This Row],[Unit_Price]]</f>
        <v>25580</v>
      </c>
      <c r="L848" s="4">
        <f>Tablo1[[#This Row],[Sales]]-(Tablo1[[#This Row],[Quantity]]*Tablo1[[#This Row],[Unit_Cost]])</f>
        <v>10280</v>
      </c>
    </row>
    <row r="849" spans="1:12" x14ac:dyDescent="0.3">
      <c r="A849" s="2">
        <v>1848</v>
      </c>
      <c r="B849" s="7">
        <v>45400</v>
      </c>
      <c r="C849" s="8" t="s">
        <v>74</v>
      </c>
      <c r="D849" s="2" t="s">
        <v>41</v>
      </c>
      <c r="E849" s="2" t="s">
        <v>26</v>
      </c>
      <c r="F849" s="2" t="s">
        <v>45</v>
      </c>
      <c r="G849" s="2" t="s">
        <v>34</v>
      </c>
      <c r="H849" s="2">
        <v>2</v>
      </c>
      <c r="I849" s="4">
        <v>2463</v>
      </c>
      <c r="J849" s="4">
        <v>1726</v>
      </c>
      <c r="K849" s="4">
        <f>Tablo1[[#This Row],[Quantity]]*Tablo1[[#This Row],[Unit_Price]]</f>
        <v>4926</v>
      </c>
      <c r="L849" s="4">
        <f>Tablo1[[#This Row],[Sales]]-(Tablo1[[#This Row],[Quantity]]*Tablo1[[#This Row],[Unit_Cost]])</f>
        <v>1474</v>
      </c>
    </row>
    <row r="850" spans="1:12" x14ac:dyDescent="0.3">
      <c r="A850" s="2">
        <v>1849</v>
      </c>
      <c r="B850" s="7">
        <v>45613</v>
      </c>
      <c r="C850" s="8" t="s">
        <v>77</v>
      </c>
      <c r="D850" s="2" t="s">
        <v>10</v>
      </c>
      <c r="E850" s="2" t="s">
        <v>23</v>
      </c>
      <c r="F850" s="2" t="s">
        <v>49</v>
      </c>
      <c r="G850" s="2" t="s">
        <v>12</v>
      </c>
      <c r="H850" s="2">
        <v>8</v>
      </c>
      <c r="I850" s="4">
        <v>16236</v>
      </c>
      <c r="J850" s="4">
        <v>9908</v>
      </c>
      <c r="K850" s="4">
        <f>Tablo1[[#This Row],[Quantity]]*Tablo1[[#This Row],[Unit_Price]]</f>
        <v>129888</v>
      </c>
      <c r="L850" s="4">
        <f>Tablo1[[#This Row],[Sales]]-(Tablo1[[#This Row],[Quantity]]*Tablo1[[#This Row],[Unit_Cost]])</f>
        <v>50624</v>
      </c>
    </row>
    <row r="851" spans="1:12" x14ac:dyDescent="0.3">
      <c r="A851" s="2">
        <v>1850</v>
      </c>
      <c r="B851" s="7">
        <v>45542</v>
      </c>
      <c r="C851" s="8" t="s">
        <v>75</v>
      </c>
      <c r="D851" s="2" t="s">
        <v>41</v>
      </c>
      <c r="E851" s="2" t="s">
        <v>23</v>
      </c>
      <c r="F851" s="2" t="s">
        <v>37</v>
      </c>
      <c r="G851" s="2" t="s">
        <v>28</v>
      </c>
      <c r="H851" s="2">
        <v>10</v>
      </c>
      <c r="I851" s="4">
        <v>3993</v>
      </c>
      <c r="J851" s="4">
        <v>2299</v>
      </c>
      <c r="K851" s="4">
        <f>Tablo1[[#This Row],[Quantity]]*Tablo1[[#This Row],[Unit_Price]]</f>
        <v>39930</v>
      </c>
      <c r="L851" s="4">
        <f>Tablo1[[#This Row],[Sales]]-(Tablo1[[#This Row],[Quantity]]*Tablo1[[#This Row],[Unit_Cost]])</f>
        <v>16940</v>
      </c>
    </row>
    <row r="852" spans="1:12" x14ac:dyDescent="0.3">
      <c r="A852" s="2">
        <v>1851</v>
      </c>
      <c r="B852" s="7">
        <v>45312</v>
      </c>
      <c r="C852" s="8" t="s">
        <v>76</v>
      </c>
      <c r="D852" s="2" t="s">
        <v>44</v>
      </c>
      <c r="E852" s="2" t="s">
        <v>26</v>
      </c>
      <c r="F852" s="2" t="s">
        <v>37</v>
      </c>
      <c r="G852" s="2" t="s">
        <v>28</v>
      </c>
      <c r="H852" s="2">
        <v>1</v>
      </c>
      <c r="I852" s="4">
        <v>1240</v>
      </c>
      <c r="J852" s="4">
        <v>904</v>
      </c>
      <c r="K852" s="4">
        <f>Tablo1[[#This Row],[Quantity]]*Tablo1[[#This Row],[Unit_Price]]</f>
        <v>1240</v>
      </c>
      <c r="L852" s="4">
        <f>Tablo1[[#This Row],[Sales]]-(Tablo1[[#This Row],[Quantity]]*Tablo1[[#This Row],[Unit_Cost]])</f>
        <v>336</v>
      </c>
    </row>
    <row r="853" spans="1:12" x14ac:dyDescent="0.3">
      <c r="A853" s="2">
        <v>1852</v>
      </c>
      <c r="B853" s="7">
        <v>45503</v>
      </c>
      <c r="C853" s="8" t="s">
        <v>75</v>
      </c>
      <c r="D853" s="2" t="s">
        <v>10</v>
      </c>
      <c r="E853" s="2" t="s">
        <v>30</v>
      </c>
      <c r="F853" s="2" t="s">
        <v>42</v>
      </c>
      <c r="G853" s="2" t="s">
        <v>12</v>
      </c>
      <c r="H853" s="2">
        <v>7</v>
      </c>
      <c r="I853" s="4">
        <v>19306</v>
      </c>
      <c r="J853" s="4">
        <v>14257</v>
      </c>
      <c r="K853" s="4">
        <f>Tablo1[[#This Row],[Quantity]]*Tablo1[[#This Row],[Unit_Price]]</f>
        <v>135142</v>
      </c>
      <c r="L853" s="4">
        <f>Tablo1[[#This Row],[Sales]]-(Tablo1[[#This Row],[Quantity]]*Tablo1[[#This Row],[Unit_Cost]])</f>
        <v>35343</v>
      </c>
    </row>
    <row r="854" spans="1:12" x14ac:dyDescent="0.3">
      <c r="A854" s="2">
        <v>1853</v>
      </c>
      <c r="B854" s="7">
        <v>45531</v>
      </c>
      <c r="C854" s="8" t="s">
        <v>74</v>
      </c>
      <c r="D854" s="2" t="s">
        <v>32</v>
      </c>
      <c r="E854" s="2" t="s">
        <v>20</v>
      </c>
      <c r="F854" s="2" t="s">
        <v>46</v>
      </c>
      <c r="G854" s="2" t="s">
        <v>17</v>
      </c>
      <c r="H854" s="2">
        <v>5</v>
      </c>
      <c r="I854" s="4">
        <v>2581</v>
      </c>
      <c r="J854" s="4">
        <v>2007</v>
      </c>
      <c r="K854" s="4">
        <f>Tablo1[[#This Row],[Quantity]]*Tablo1[[#This Row],[Unit_Price]]</f>
        <v>12905</v>
      </c>
      <c r="L854" s="4">
        <f>Tablo1[[#This Row],[Sales]]-(Tablo1[[#This Row],[Quantity]]*Tablo1[[#This Row],[Unit_Cost]])</f>
        <v>2870</v>
      </c>
    </row>
    <row r="855" spans="1:12" x14ac:dyDescent="0.3">
      <c r="A855" s="2">
        <v>1854</v>
      </c>
      <c r="B855" s="7">
        <v>45501</v>
      </c>
      <c r="C855" s="8" t="s">
        <v>73</v>
      </c>
      <c r="D855" s="2" t="s">
        <v>44</v>
      </c>
      <c r="E855" s="2" t="s">
        <v>30</v>
      </c>
      <c r="F855" s="2" t="s">
        <v>46</v>
      </c>
      <c r="G855" s="2" t="s">
        <v>17</v>
      </c>
      <c r="H855" s="2">
        <v>2</v>
      </c>
      <c r="I855" s="4">
        <v>2072</v>
      </c>
      <c r="J855" s="4">
        <v>1608</v>
      </c>
      <c r="K855" s="4">
        <f>Tablo1[[#This Row],[Quantity]]*Tablo1[[#This Row],[Unit_Price]]</f>
        <v>4144</v>
      </c>
      <c r="L855" s="4">
        <f>Tablo1[[#This Row],[Sales]]-(Tablo1[[#This Row],[Quantity]]*Tablo1[[#This Row],[Unit_Cost]])</f>
        <v>928</v>
      </c>
    </row>
    <row r="856" spans="1:12" x14ac:dyDescent="0.3">
      <c r="A856" s="2">
        <v>1855</v>
      </c>
      <c r="B856" s="7">
        <v>45564</v>
      </c>
      <c r="C856" s="8" t="s">
        <v>73</v>
      </c>
      <c r="D856" s="2" t="s">
        <v>32</v>
      </c>
      <c r="E856" s="2" t="s">
        <v>30</v>
      </c>
      <c r="F856" s="2" t="s">
        <v>29</v>
      </c>
      <c r="G856" s="2" t="s">
        <v>25</v>
      </c>
      <c r="H856" s="2">
        <v>4</v>
      </c>
      <c r="I856" s="4">
        <v>3184</v>
      </c>
      <c r="J856" s="4">
        <v>2103</v>
      </c>
      <c r="K856" s="4">
        <f>Tablo1[[#This Row],[Quantity]]*Tablo1[[#This Row],[Unit_Price]]</f>
        <v>12736</v>
      </c>
      <c r="L856" s="4">
        <f>Tablo1[[#This Row],[Sales]]-(Tablo1[[#This Row],[Quantity]]*Tablo1[[#This Row],[Unit_Cost]])</f>
        <v>4324</v>
      </c>
    </row>
    <row r="857" spans="1:12" x14ac:dyDescent="0.3">
      <c r="A857" s="2">
        <v>1856</v>
      </c>
      <c r="B857" s="7">
        <v>45530</v>
      </c>
      <c r="C857" s="8" t="s">
        <v>75</v>
      </c>
      <c r="D857" s="2" t="s">
        <v>41</v>
      </c>
      <c r="E857" s="2" t="s">
        <v>38</v>
      </c>
      <c r="F857" s="2" t="s">
        <v>14</v>
      </c>
      <c r="G857" s="2" t="s">
        <v>12</v>
      </c>
      <c r="H857" s="2">
        <v>5</v>
      </c>
      <c r="I857" s="4">
        <v>10392</v>
      </c>
      <c r="J857" s="4">
        <v>8079</v>
      </c>
      <c r="K857" s="4">
        <f>Tablo1[[#This Row],[Quantity]]*Tablo1[[#This Row],[Unit_Price]]</f>
        <v>51960</v>
      </c>
      <c r="L857" s="4">
        <f>Tablo1[[#This Row],[Sales]]-(Tablo1[[#This Row],[Quantity]]*Tablo1[[#This Row],[Unit_Cost]])</f>
        <v>11565</v>
      </c>
    </row>
    <row r="858" spans="1:12" x14ac:dyDescent="0.3">
      <c r="A858" s="2">
        <v>1857</v>
      </c>
      <c r="B858" s="7">
        <v>45441</v>
      </c>
      <c r="C858" s="8" t="s">
        <v>74</v>
      </c>
      <c r="D858" s="2" t="s">
        <v>44</v>
      </c>
      <c r="E858" s="2" t="s">
        <v>30</v>
      </c>
      <c r="F858" s="2" t="s">
        <v>48</v>
      </c>
      <c r="G858" s="2" t="s">
        <v>34</v>
      </c>
      <c r="H858" s="2">
        <v>4</v>
      </c>
      <c r="I858" s="4">
        <v>6319</v>
      </c>
      <c r="J858" s="4">
        <v>3600</v>
      </c>
      <c r="K858" s="4">
        <f>Tablo1[[#This Row],[Quantity]]*Tablo1[[#This Row],[Unit_Price]]</f>
        <v>25276</v>
      </c>
      <c r="L858" s="4">
        <f>Tablo1[[#This Row],[Sales]]-(Tablo1[[#This Row],[Quantity]]*Tablo1[[#This Row],[Unit_Cost]])</f>
        <v>10876</v>
      </c>
    </row>
    <row r="859" spans="1:12" x14ac:dyDescent="0.3">
      <c r="A859" s="2">
        <v>1858</v>
      </c>
      <c r="B859" s="7">
        <v>45405</v>
      </c>
      <c r="C859" s="8" t="s">
        <v>76</v>
      </c>
      <c r="D859" s="2" t="s">
        <v>22</v>
      </c>
      <c r="E859" s="2" t="s">
        <v>38</v>
      </c>
      <c r="F859" s="2" t="s">
        <v>45</v>
      </c>
      <c r="G859" s="2" t="s">
        <v>34</v>
      </c>
      <c r="H859" s="2">
        <v>4</v>
      </c>
      <c r="I859" s="4">
        <v>2700</v>
      </c>
      <c r="J859" s="4">
        <v>1648</v>
      </c>
      <c r="K859" s="4">
        <f>Tablo1[[#This Row],[Quantity]]*Tablo1[[#This Row],[Unit_Price]]</f>
        <v>10800</v>
      </c>
      <c r="L859" s="4">
        <f>Tablo1[[#This Row],[Sales]]-(Tablo1[[#This Row],[Quantity]]*Tablo1[[#This Row],[Unit_Cost]])</f>
        <v>4208</v>
      </c>
    </row>
    <row r="860" spans="1:12" x14ac:dyDescent="0.3">
      <c r="A860" s="2">
        <v>1859</v>
      </c>
      <c r="B860" s="7">
        <v>45585</v>
      </c>
      <c r="C860" s="8" t="s">
        <v>75</v>
      </c>
      <c r="D860" s="2" t="s">
        <v>15</v>
      </c>
      <c r="E860" s="2" t="s">
        <v>30</v>
      </c>
      <c r="F860" s="2" t="s">
        <v>49</v>
      </c>
      <c r="G860" s="2" t="s">
        <v>12</v>
      </c>
      <c r="H860" s="2">
        <v>9</v>
      </c>
      <c r="I860" s="4">
        <v>23496</v>
      </c>
      <c r="J860" s="4">
        <v>12918</v>
      </c>
      <c r="K860" s="4">
        <f>Tablo1[[#This Row],[Quantity]]*Tablo1[[#This Row],[Unit_Price]]</f>
        <v>211464</v>
      </c>
      <c r="L860" s="4">
        <f>Tablo1[[#This Row],[Sales]]-(Tablo1[[#This Row],[Quantity]]*Tablo1[[#This Row],[Unit_Cost]])</f>
        <v>95202</v>
      </c>
    </row>
    <row r="861" spans="1:12" x14ac:dyDescent="0.3">
      <c r="A861" s="2">
        <v>1860</v>
      </c>
      <c r="B861" s="7">
        <v>45616</v>
      </c>
      <c r="C861" s="8" t="s">
        <v>73</v>
      </c>
      <c r="D861" s="2" t="s">
        <v>15</v>
      </c>
      <c r="E861" s="2" t="s">
        <v>30</v>
      </c>
      <c r="F861" s="2" t="s">
        <v>45</v>
      </c>
      <c r="G861" s="2" t="s">
        <v>34</v>
      </c>
      <c r="H861" s="2">
        <v>2</v>
      </c>
      <c r="I861" s="4">
        <v>835</v>
      </c>
      <c r="J861" s="4">
        <v>473</v>
      </c>
      <c r="K861" s="4">
        <f>Tablo1[[#This Row],[Quantity]]*Tablo1[[#This Row],[Unit_Price]]</f>
        <v>1670</v>
      </c>
      <c r="L861" s="4">
        <f>Tablo1[[#This Row],[Sales]]-(Tablo1[[#This Row],[Quantity]]*Tablo1[[#This Row],[Unit_Cost]])</f>
        <v>724</v>
      </c>
    </row>
    <row r="862" spans="1:12" x14ac:dyDescent="0.3">
      <c r="A862" s="2">
        <v>1861</v>
      </c>
      <c r="B862" s="7">
        <v>45652</v>
      </c>
      <c r="C862" s="8" t="s">
        <v>76</v>
      </c>
      <c r="D862" s="2" t="s">
        <v>32</v>
      </c>
      <c r="E862" s="2" t="s">
        <v>26</v>
      </c>
      <c r="F862" s="2" t="s">
        <v>36</v>
      </c>
      <c r="G862" s="2" t="s">
        <v>34</v>
      </c>
      <c r="H862" s="2">
        <v>8</v>
      </c>
      <c r="I862" s="4">
        <v>2638</v>
      </c>
      <c r="J862" s="4">
        <v>2092</v>
      </c>
      <c r="K862" s="4">
        <f>Tablo1[[#This Row],[Quantity]]*Tablo1[[#This Row],[Unit_Price]]</f>
        <v>21104</v>
      </c>
      <c r="L862" s="4">
        <f>Tablo1[[#This Row],[Sales]]-(Tablo1[[#This Row],[Quantity]]*Tablo1[[#This Row],[Unit_Cost]])</f>
        <v>4368</v>
      </c>
    </row>
    <row r="863" spans="1:12" x14ac:dyDescent="0.3">
      <c r="A863" s="2">
        <v>1862</v>
      </c>
      <c r="B863" s="7">
        <v>45387</v>
      </c>
      <c r="C863" s="8" t="s">
        <v>74</v>
      </c>
      <c r="D863" s="2" t="s">
        <v>22</v>
      </c>
      <c r="E863" s="2" t="s">
        <v>20</v>
      </c>
      <c r="F863" s="2" t="s">
        <v>42</v>
      </c>
      <c r="G863" s="2" t="s">
        <v>12</v>
      </c>
      <c r="H863" s="2">
        <v>5</v>
      </c>
      <c r="I863" s="4">
        <v>21139</v>
      </c>
      <c r="J863" s="4">
        <v>14954</v>
      </c>
      <c r="K863" s="4">
        <f>Tablo1[[#This Row],[Quantity]]*Tablo1[[#This Row],[Unit_Price]]</f>
        <v>105695</v>
      </c>
      <c r="L863" s="4">
        <f>Tablo1[[#This Row],[Sales]]-(Tablo1[[#This Row],[Quantity]]*Tablo1[[#This Row],[Unit_Cost]])</f>
        <v>30925</v>
      </c>
    </row>
    <row r="864" spans="1:12" x14ac:dyDescent="0.3">
      <c r="A864" s="2">
        <v>1863</v>
      </c>
      <c r="B864" s="7">
        <v>45432</v>
      </c>
      <c r="C864" s="8" t="s">
        <v>77</v>
      </c>
      <c r="D864" s="2" t="s">
        <v>41</v>
      </c>
      <c r="E864" s="2" t="s">
        <v>26</v>
      </c>
      <c r="F864" s="2" t="s">
        <v>46</v>
      </c>
      <c r="G864" s="2" t="s">
        <v>17</v>
      </c>
      <c r="H864" s="2">
        <v>8</v>
      </c>
      <c r="I864" s="4">
        <v>9573</v>
      </c>
      <c r="J864" s="4">
        <v>7125</v>
      </c>
      <c r="K864" s="4">
        <f>Tablo1[[#This Row],[Quantity]]*Tablo1[[#This Row],[Unit_Price]]</f>
        <v>76584</v>
      </c>
      <c r="L864" s="4">
        <f>Tablo1[[#This Row],[Sales]]-(Tablo1[[#This Row],[Quantity]]*Tablo1[[#This Row],[Unit_Cost]])</f>
        <v>19584</v>
      </c>
    </row>
    <row r="865" spans="1:12" x14ac:dyDescent="0.3">
      <c r="A865" s="2">
        <v>1864</v>
      </c>
      <c r="B865" s="7">
        <v>45584</v>
      </c>
      <c r="C865" s="8" t="s">
        <v>75</v>
      </c>
      <c r="D865" s="2" t="s">
        <v>44</v>
      </c>
      <c r="E865" s="2" t="s">
        <v>38</v>
      </c>
      <c r="F865" s="2" t="s">
        <v>50</v>
      </c>
      <c r="G865" s="2" t="s">
        <v>28</v>
      </c>
      <c r="H865" s="2">
        <v>1</v>
      </c>
      <c r="I865" s="4">
        <v>715</v>
      </c>
      <c r="J865" s="4">
        <v>409</v>
      </c>
      <c r="K865" s="4">
        <f>Tablo1[[#This Row],[Quantity]]*Tablo1[[#This Row],[Unit_Price]]</f>
        <v>715</v>
      </c>
      <c r="L865" s="4">
        <f>Tablo1[[#This Row],[Sales]]-(Tablo1[[#This Row],[Quantity]]*Tablo1[[#This Row],[Unit_Cost]])</f>
        <v>306</v>
      </c>
    </row>
    <row r="866" spans="1:12" x14ac:dyDescent="0.3">
      <c r="A866" s="2">
        <v>1865</v>
      </c>
      <c r="B866" s="7">
        <v>45571</v>
      </c>
      <c r="C866" s="8" t="s">
        <v>76</v>
      </c>
      <c r="D866" s="2" t="s">
        <v>43</v>
      </c>
      <c r="E866" s="2" t="s">
        <v>20</v>
      </c>
      <c r="F866" s="2" t="s">
        <v>50</v>
      </c>
      <c r="G866" s="2" t="s">
        <v>28</v>
      </c>
      <c r="H866" s="2">
        <v>8</v>
      </c>
      <c r="I866" s="4">
        <v>2471</v>
      </c>
      <c r="J866" s="4">
        <v>1336</v>
      </c>
      <c r="K866" s="4">
        <f>Tablo1[[#This Row],[Quantity]]*Tablo1[[#This Row],[Unit_Price]]</f>
        <v>19768</v>
      </c>
      <c r="L866" s="4">
        <f>Tablo1[[#This Row],[Sales]]-(Tablo1[[#This Row],[Quantity]]*Tablo1[[#This Row],[Unit_Cost]])</f>
        <v>9080</v>
      </c>
    </row>
    <row r="867" spans="1:12" x14ac:dyDescent="0.3">
      <c r="A867" s="2">
        <v>1866</v>
      </c>
      <c r="B867" s="7">
        <v>45296</v>
      </c>
      <c r="C867" s="8" t="s">
        <v>75</v>
      </c>
      <c r="D867" s="2" t="s">
        <v>41</v>
      </c>
      <c r="E867" s="2" t="s">
        <v>26</v>
      </c>
      <c r="F867" s="2" t="s">
        <v>42</v>
      </c>
      <c r="G867" s="2" t="s">
        <v>12</v>
      </c>
      <c r="H867" s="2">
        <v>8</v>
      </c>
      <c r="I867" s="4">
        <v>24896</v>
      </c>
      <c r="J867" s="4">
        <v>19781</v>
      </c>
      <c r="K867" s="4">
        <f>Tablo1[[#This Row],[Quantity]]*Tablo1[[#This Row],[Unit_Price]]</f>
        <v>199168</v>
      </c>
      <c r="L867" s="4">
        <f>Tablo1[[#This Row],[Sales]]-(Tablo1[[#This Row],[Quantity]]*Tablo1[[#This Row],[Unit_Cost]])</f>
        <v>40920</v>
      </c>
    </row>
    <row r="868" spans="1:12" x14ac:dyDescent="0.3">
      <c r="A868" s="2">
        <v>1867</v>
      </c>
      <c r="B868" s="7">
        <v>45594</v>
      </c>
      <c r="C868" s="8" t="s">
        <v>74</v>
      </c>
      <c r="D868" s="2" t="s">
        <v>22</v>
      </c>
      <c r="E868" s="2" t="s">
        <v>30</v>
      </c>
      <c r="F868" s="2" t="s">
        <v>45</v>
      </c>
      <c r="G868" s="2" t="s">
        <v>34</v>
      </c>
      <c r="H868" s="2">
        <v>2</v>
      </c>
      <c r="I868" s="4">
        <v>3431</v>
      </c>
      <c r="J868" s="4">
        <v>2250</v>
      </c>
      <c r="K868" s="4">
        <f>Tablo1[[#This Row],[Quantity]]*Tablo1[[#This Row],[Unit_Price]]</f>
        <v>6862</v>
      </c>
      <c r="L868" s="4">
        <f>Tablo1[[#This Row],[Sales]]-(Tablo1[[#This Row],[Quantity]]*Tablo1[[#This Row],[Unit_Cost]])</f>
        <v>2362</v>
      </c>
    </row>
    <row r="869" spans="1:12" x14ac:dyDescent="0.3">
      <c r="A869" s="2">
        <v>1868</v>
      </c>
      <c r="B869" s="7">
        <v>45378</v>
      </c>
      <c r="C869" s="8" t="s">
        <v>73</v>
      </c>
      <c r="D869" s="2" t="s">
        <v>41</v>
      </c>
      <c r="E869" s="2" t="s">
        <v>23</v>
      </c>
      <c r="F869" s="2" t="s">
        <v>39</v>
      </c>
      <c r="G869" s="2" t="s">
        <v>28</v>
      </c>
      <c r="H869" s="2">
        <v>5</v>
      </c>
      <c r="I869" s="4">
        <v>3342</v>
      </c>
      <c r="J869" s="4">
        <v>1841</v>
      </c>
      <c r="K869" s="4">
        <f>Tablo1[[#This Row],[Quantity]]*Tablo1[[#This Row],[Unit_Price]]</f>
        <v>16710</v>
      </c>
      <c r="L869" s="4">
        <f>Tablo1[[#This Row],[Sales]]-(Tablo1[[#This Row],[Quantity]]*Tablo1[[#This Row],[Unit_Cost]])</f>
        <v>7505</v>
      </c>
    </row>
    <row r="870" spans="1:12" x14ac:dyDescent="0.3">
      <c r="A870" s="2">
        <v>1869</v>
      </c>
      <c r="B870" s="7">
        <v>45397</v>
      </c>
      <c r="C870" s="8" t="s">
        <v>73</v>
      </c>
      <c r="D870" s="2" t="s">
        <v>35</v>
      </c>
      <c r="E870" s="2" t="s">
        <v>38</v>
      </c>
      <c r="F870" s="2" t="s">
        <v>48</v>
      </c>
      <c r="G870" s="2" t="s">
        <v>34</v>
      </c>
      <c r="H870" s="2">
        <v>7</v>
      </c>
      <c r="I870" s="4">
        <v>3658</v>
      </c>
      <c r="J870" s="4">
        <v>2884</v>
      </c>
      <c r="K870" s="4">
        <f>Tablo1[[#This Row],[Quantity]]*Tablo1[[#This Row],[Unit_Price]]</f>
        <v>25606</v>
      </c>
      <c r="L870" s="4">
        <f>Tablo1[[#This Row],[Sales]]-(Tablo1[[#This Row],[Quantity]]*Tablo1[[#This Row],[Unit_Cost]])</f>
        <v>5418</v>
      </c>
    </row>
    <row r="871" spans="1:12" x14ac:dyDescent="0.3">
      <c r="A871" s="2">
        <v>1870</v>
      </c>
      <c r="B871" s="7">
        <v>45508</v>
      </c>
      <c r="C871" s="8" t="s">
        <v>75</v>
      </c>
      <c r="D871" s="2" t="s">
        <v>35</v>
      </c>
      <c r="E871" s="2" t="s">
        <v>26</v>
      </c>
      <c r="F871" s="2" t="s">
        <v>40</v>
      </c>
      <c r="G871" s="2" t="s">
        <v>25</v>
      </c>
      <c r="H871" s="2">
        <v>3</v>
      </c>
      <c r="I871" s="4">
        <v>5354</v>
      </c>
      <c r="J871" s="4">
        <v>3391</v>
      </c>
      <c r="K871" s="4">
        <f>Tablo1[[#This Row],[Quantity]]*Tablo1[[#This Row],[Unit_Price]]</f>
        <v>16062</v>
      </c>
      <c r="L871" s="4">
        <f>Tablo1[[#This Row],[Sales]]-(Tablo1[[#This Row],[Quantity]]*Tablo1[[#This Row],[Unit_Cost]])</f>
        <v>5889</v>
      </c>
    </row>
    <row r="872" spans="1:12" x14ac:dyDescent="0.3">
      <c r="A872" s="2">
        <v>1871</v>
      </c>
      <c r="B872" s="7">
        <v>45324</v>
      </c>
      <c r="C872" s="8" t="s">
        <v>74</v>
      </c>
      <c r="D872" s="2" t="s">
        <v>41</v>
      </c>
      <c r="E872" s="2" t="s">
        <v>38</v>
      </c>
      <c r="F872" s="2" t="s">
        <v>16</v>
      </c>
      <c r="G872" s="2" t="s">
        <v>17</v>
      </c>
      <c r="H872" s="2">
        <v>2</v>
      </c>
      <c r="I872" s="4">
        <v>11404</v>
      </c>
      <c r="J872" s="4">
        <v>6498</v>
      </c>
      <c r="K872" s="4">
        <f>Tablo1[[#This Row],[Quantity]]*Tablo1[[#This Row],[Unit_Price]]</f>
        <v>22808</v>
      </c>
      <c r="L872" s="4">
        <f>Tablo1[[#This Row],[Sales]]-(Tablo1[[#This Row],[Quantity]]*Tablo1[[#This Row],[Unit_Cost]])</f>
        <v>9812</v>
      </c>
    </row>
    <row r="873" spans="1:12" x14ac:dyDescent="0.3">
      <c r="A873" s="2">
        <v>1872</v>
      </c>
      <c r="B873" s="7">
        <v>45420</v>
      </c>
      <c r="C873" s="8" t="s">
        <v>76</v>
      </c>
      <c r="D873" s="2" t="s">
        <v>10</v>
      </c>
      <c r="E873" s="2" t="s">
        <v>26</v>
      </c>
      <c r="F873" s="2" t="s">
        <v>45</v>
      </c>
      <c r="G873" s="2" t="s">
        <v>34</v>
      </c>
      <c r="H873" s="2">
        <v>10</v>
      </c>
      <c r="I873" s="4">
        <v>6408</v>
      </c>
      <c r="J873" s="4">
        <v>4476</v>
      </c>
      <c r="K873" s="4">
        <f>Tablo1[[#This Row],[Quantity]]*Tablo1[[#This Row],[Unit_Price]]</f>
        <v>64080</v>
      </c>
      <c r="L873" s="4">
        <f>Tablo1[[#This Row],[Sales]]-(Tablo1[[#This Row],[Quantity]]*Tablo1[[#This Row],[Unit_Cost]])</f>
        <v>19320</v>
      </c>
    </row>
    <row r="874" spans="1:12" x14ac:dyDescent="0.3">
      <c r="A874" s="2">
        <v>1873</v>
      </c>
      <c r="B874" s="7">
        <v>45513</v>
      </c>
      <c r="C874" s="8" t="s">
        <v>75</v>
      </c>
      <c r="D874" s="2" t="s">
        <v>44</v>
      </c>
      <c r="E874" s="2" t="s">
        <v>30</v>
      </c>
      <c r="F874" s="2" t="s">
        <v>40</v>
      </c>
      <c r="G874" s="2" t="s">
        <v>25</v>
      </c>
      <c r="H874" s="2">
        <v>2</v>
      </c>
      <c r="I874" s="4">
        <v>6628</v>
      </c>
      <c r="J874" s="4">
        <v>3855</v>
      </c>
      <c r="K874" s="4">
        <f>Tablo1[[#This Row],[Quantity]]*Tablo1[[#This Row],[Unit_Price]]</f>
        <v>13256</v>
      </c>
      <c r="L874" s="4">
        <f>Tablo1[[#This Row],[Sales]]-(Tablo1[[#This Row],[Quantity]]*Tablo1[[#This Row],[Unit_Cost]])</f>
        <v>5546</v>
      </c>
    </row>
    <row r="875" spans="1:12" x14ac:dyDescent="0.3">
      <c r="A875" s="2">
        <v>1874</v>
      </c>
      <c r="B875" s="7">
        <v>45311</v>
      </c>
      <c r="C875" s="8" t="s">
        <v>73</v>
      </c>
      <c r="D875" s="2" t="s">
        <v>41</v>
      </c>
      <c r="E875" s="2" t="s">
        <v>20</v>
      </c>
      <c r="F875" s="2" t="s">
        <v>47</v>
      </c>
      <c r="G875" s="2" t="s">
        <v>25</v>
      </c>
      <c r="H875" s="2">
        <v>1</v>
      </c>
      <c r="I875" s="4">
        <v>4944</v>
      </c>
      <c r="J875" s="4">
        <v>3752</v>
      </c>
      <c r="K875" s="4">
        <f>Tablo1[[#This Row],[Quantity]]*Tablo1[[#This Row],[Unit_Price]]</f>
        <v>4944</v>
      </c>
      <c r="L875" s="4">
        <f>Tablo1[[#This Row],[Sales]]-(Tablo1[[#This Row],[Quantity]]*Tablo1[[#This Row],[Unit_Cost]])</f>
        <v>1192</v>
      </c>
    </row>
    <row r="876" spans="1:12" x14ac:dyDescent="0.3">
      <c r="A876" s="2">
        <v>1875</v>
      </c>
      <c r="B876" s="7">
        <v>45369</v>
      </c>
      <c r="C876" s="8" t="s">
        <v>76</v>
      </c>
      <c r="D876" s="2" t="s">
        <v>13</v>
      </c>
      <c r="E876" s="2" t="s">
        <v>23</v>
      </c>
      <c r="F876" s="2" t="s">
        <v>14</v>
      </c>
      <c r="G876" s="2" t="s">
        <v>12</v>
      </c>
      <c r="H876" s="2">
        <v>7</v>
      </c>
      <c r="I876" s="4">
        <v>21690</v>
      </c>
      <c r="J876" s="4">
        <v>16990</v>
      </c>
      <c r="K876" s="4">
        <f>Tablo1[[#This Row],[Quantity]]*Tablo1[[#This Row],[Unit_Price]]</f>
        <v>151830</v>
      </c>
      <c r="L876" s="4">
        <f>Tablo1[[#This Row],[Sales]]-(Tablo1[[#This Row],[Quantity]]*Tablo1[[#This Row],[Unit_Cost]])</f>
        <v>32900</v>
      </c>
    </row>
    <row r="877" spans="1:12" x14ac:dyDescent="0.3">
      <c r="A877" s="2">
        <v>1876</v>
      </c>
      <c r="B877" s="7">
        <v>45494</v>
      </c>
      <c r="C877" s="8" t="s">
        <v>74</v>
      </c>
      <c r="D877" s="2" t="s">
        <v>15</v>
      </c>
      <c r="E877" s="2" t="s">
        <v>23</v>
      </c>
      <c r="F877" s="2" t="s">
        <v>45</v>
      </c>
      <c r="G877" s="2" t="s">
        <v>34</v>
      </c>
      <c r="H877" s="2">
        <v>5</v>
      </c>
      <c r="I877" s="4">
        <v>1875</v>
      </c>
      <c r="J877" s="4">
        <v>1113</v>
      </c>
      <c r="K877" s="4">
        <f>Tablo1[[#This Row],[Quantity]]*Tablo1[[#This Row],[Unit_Price]]</f>
        <v>9375</v>
      </c>
      <c r="L877" s="4">
        <f>Tablo1[[#This Row],[Sales]]-(Tablo1[[#This Row],[Quantity]]*Tablo1[[#This Row],[Unit_Cost]])</f>
        <v>3810</v>
      </c>
    </row>
    <row r="878" spans="1:12" x14ac:dyDescent="0.3">
      <c r="A878" s="2">
        <v>1877</v>
      </c>
      <c r="B878" s="7">
        <v>45604</v>
      </c>
      <c r="C878" s="8" t="s">
        <v>77</v>
      </c>
      <c r="D878" s="2" t="s">
        <v>43</v>
      </c>
      <c r="E878" s="2" t="s">
        <v>20</v>
      </c>
      <c r="F878" s="2" t="s">
        <v>11</v>
      </c>
      <c r="G878" s="2" t="s">
        <v>12</v>
      </c>
      <c r="H878" s="2">
        <v>10</v>
      </c>
      <c r="I878" s="4">
        <v>10726</v>
      </c>
      <c r="J878" s="4">
        <v>7411</v>
      </c>
      <c r="K878" s="4">
        <f>Tablo1[[#This Row],[Quantity]]*Tablo1[[#This Row],[Unit_Price]]</f>
        <v>107260</v>
      </c>
      <c r="L878" s="4">
        <f>Tablo1[[#This Row],[Sales]]-(Tablo1[[#This Row],[Quantity]]*Tablo1[[#This Row],[Unit_Cost]])</f>
        <v>33150</v>
      </c>
    </row>
    <row r="879" spans="1:12" x14ac:dyDescent="0.3">
      <c r="A879" s="2">
        <v>1878</v>
      </c>
      <c r="B879" s="7">
        <v>45628</v>
      </c>
      <c r="C879" s="8" t="s">
        <v>75</v>
      </c>
      <c r="D879" s="2" t="s">
        <v>10</v>
      </c>
      <c r="E879" s="2" t="s">
        <v>20</v>
      </c>
      <c r="F879" s="2" t="s">
        <v>29</v>
      </c>
      <c r="G879" s="2" t="s">
        <v>25</v>
      </c>
      <c r="H879" s="2">
        <v>9</v>
      </c>
      <c r="I879" s="4">
        <v>5069</v>
      </c>
      <c r="J879" s="4">
        <v>3423</v>
      </c>
      <c r="K879" s="4">
        <f>Tablo1[[#This Row],[Quantity]]*Tablo1[[#This Row],[Unit_Price]]</f>
        <v>45621</v>
      </c>
      <c r="L879" s="4">
        <f>Tablo1[[#This Row],[Sales]]-(Tablo1[[#This Row],[Quantity]]*Tablo1[[#This Row],[Unit_Cost]])</f>
        <v>14814</v>
      </c>
    </row>
    <row r="880" spans="1:12" x14ac:dyDescent="0.3">
      <c r="A880" s="2">
        <v>1879</v>
      </c>
      <c r="B880" s="7">
        <v>45558</v>
      </c>
      <c r="C880" s="8" t="s">
        <v>76</v>
      </c>
      <c r="D880" s="2" t="s">
        <v>13</v>
      </c>
      <c r="E880" s="2" t="s">
        <v>26</v>
      </c>
      <c r="F880" s="2" t="s">
        <v>42</v>
      </c>
      <c r="G880" s="2" t="s">
        <v>12</v>
      </c>
      <c r="H880" s="2">
        <v>1</v>
      </c>
      <c r="I880" s="4">
        <v>16564</v>
      </c>
      <c r="J880" s="4">
        <v>12197</v>
      </c>
      <c r="K880" s="4">
        <f>Tablo1[[#This Row],[Quantity]]*Tablo1[[#This Row],[Unit_Price]]</f>
        <v>16564</v>
      </c>
      <c r="L880" s="4">
        <f>Tablo1[[#This Row],[Sales]]-(Tablo1[[#This Row],[Quantity]]*Tablo1[[#This Row],[Unit_Cost]])</f>
        <v>4367</v>
      </c>
    </row>
    <row r="881" spans="1:12" x14ac:dyDescent="0.3">
      <c r="A881" s="2">
        <v>1880</v>
      </c>
      <c r="B881" s="7">
        <v>45636</v>
      </c>
      <c r="C881" s="8" t="s">
        <v>75</v>
      </c>
      <c r="D881" s="2" t="s">
        <v>19</v>
      </c>
      <c r="E881" s="2" t="s">
        <v>26</v>
      </c>
      <c r="F881" s="2" t="s">
        <v>48</v>
      </c>
      <c r="G881" s="2" t="s">
        <v>34</v>
      </c>
      <c r="H881" s="2">
        <v>3</v>
      </c>
      <c r="I881" s="4">
        <v>2659</v>
      </c>
      <c r="J881" s="4">
        <v>1976</v>
      </c>
      <c r="K881" s="4">
        <f>Tablo1[[#This Row],[Quantity]]*Tablo1[[#This Row],[Unit_Price]]</f>
        <v>7977</v>
      </c>
      <c r="L881" s="4">
        <f>Tablo1[[#This Row],[Sales]]-(Tablo1[[#This Row],[Quantity]]*Tablo1[[#This Row],[Unit_Cost]])</f>
        <v>2049</v>
      </c>
    </row>
    <row r="882" spans="1:12" x14ac:dyDescent="0.3">
      <c r="A882" s="2">
        <v>1881</v>
      </c>
      <c r="B882" s="7">
        <v>45294</v>
      </c>
      <c r="C882" s="8" t="s">
        <v>74</v>
      </c>
      <c r="D882" s="2" t="s">
        <v>44</v>
      </c>
      <c r="E882" s="2" t="s">
        <v>20</v>
      </c>
      <c r="F882" s="2" t="s">
        <v>49</v>
      </c>
      <c r="G882" s="2" t="s">
        <v>12</v>
      </c>
      <c r="H882" s="2">
        <v>5</v>
      </c>
      <c r="I882" s="4">
        <v>23386</v>
      </c>
      <c r="J882" s="4">
        <v>17502</v>
      </c>
      <c r="K882" s="4">
        <f>Tablo1[[#This Row],[Quantity]]*Tablo1[[#This Row],[Unit_Price]]</f>
        <v>116930</v>
      </c>
      <c r="L882" s="4">
        <f>Tablo1[[#This Row],[Sales]]-(Tablo1[[#This Row],[Quantity]]*Tablo1[[#This Row],[Unit_Cost]])</f>
        <v>29420</v>
      </c>
    </row>
    <row r="883" spans="1:12" x14ac:dyDescent="0.3">
      <c r="A883" s="2">
        <v>1882</v>
      </c>
      <c r="B883" s="7">
        <v>45326</v>
      </c>
      <c r="C883" s="8" t="s">
        <v>73</v>
      </c>
      <c r="D883" s="2" t="s">
        <v>44</v>
      </c>
      <c r="E883" s="2" t="s">
        <v>20</v>
      </c>
      <c r="F883" s="2" t="s">
        <v>39</v>
      </c>
      <c r="G883" s="2" t="s">
        <v>28</v>
      </c>
      <c r="H883" s="2">
        <v>10</v>
      </c>
      <c r="I883" s="4">
        <v>2597</v>
      </c>
      <c r="J883" s="4">
        <v>1733</v>
      </c>
      <c r="K883" s="4">
        <f>Tablo1[[#This Row],[Quantity]]*Tablo1[[#This Row],[Unit_Price]]</f>
        <v>25970</v>
      </c>
      <c r="L883" s="4">
        <f>Tablo1[[#This Row],[Sales]]-(Tablo1[[#This Row],[Quantity]]*Tablo1[[#This Row],[Unit_Cost]])</f>
        <v>8640</v>
      </c>
    </row>
    <row r="884" spans="1:12" x14ac:dyDescent="0.3">
      <c r="A884" s="2">
        <v>1883</v>
      </c>
      <c r="B884" s="7">
        <v>45417</v>
      </c>
      <c r="C884" s="8" t="s">
        <v>73</v>
      </c>
      <c r="D884" s="2" t="s">
        <v>10</v>
      </c>
      <c r="E884" s="2" t="s">
        <v>20</v>
      </c>
      <c r="F884" s="2" t="s">
        <v>36</v>
      </c>
      <c r="G884" s="2" t="s">
        <v>34</v>
      </c>
      <c r="H884" s="2">
        <v>5</v>
      </c>
      <c r="I884" s="4">
        <v>4716</v>
      </c>
      <c r="J884" s="4">
        <v>2437</v>
      </c>
      <c r="K884" s="4">
        <f>Tablo1[[#This Row],[Quantity]]*Tablo1[[#This Row],[Unit_Price]]</f>
        <v>23580</v>
      </c>
      <c r="L884" s="4">
        <f>Tablo1[[#This Row],[Sales]]-(Tablo1[[#This Row],[Quantity]]*Tablo1[[#This Row],[Unit_Cost]])</f>
        <v>11395</v>
      </c>
    </row>
    <row r="885" spans="1:12" x14ac:dyDescent="0.3">
      <c r="A885" s="2">
        <v>1884</v>
      </c>
      <c r="B885" s="7">
        <v>45546</v>
      </c>
      <c r="C885" s="8" t="s">
        <v>75</v>
      </c>
      <c r="D885" s="2" t="s">
        <v>41</v>
      </c>
      <c r="E885" s="2" t="s">
        <v>26</v>
      </c>
      <c r="F885" s="2" t="s">
        <v>27</v>
      </c>
      <c r="G885" s="2" t="s">
        <v>28</v>
      </c>
      <c r="H885" s="2">
        <v>5</v>
      </c>
      <c r="I885" s="4">
        <v>1533</v>
      </c>
      <c r="J885" s="4">
        <v>1135</v>
      </c>
      <c r="K885" s="4">
        <f>Tablo1[[#This Row],[Quantity]]*Tablo1[[#This Row],[Unit_Price]]</f>
        <v>7665</v>
      </c>
      <c r="L885" s="4">
        <f>Tablo1[[#This Row],[Sales]]-(Tablo1[[#This Row],[Quantity]]*Tablo1[[#This Row],[Unit_Cost]])</f>
        <v>1990</v>
      </c>
    </row>
    <row r="886" spans="1:12" x14ac:dyDescent="0.3">
      <c r="A886" s="2">
        <v>1885</v>
      </c>
      <c r="B886" s="7">
        <v>45649</v>
      </c>
      <c r="C886" s="8" t="s">
        <v>74</v>
      </c>
      <c r="D886" s="2" t="s">
        <v>15</v>
      </c>
      <c r="E886" s="2" t="s">
        <v>30</v>
      </c>
      <c r="F886" s="2" t="s">
        <v>31</v>
      </c>
      <c r="G886" s="2" t="s">
        <v>17</v>
      </c>
      <c r="H886" s="2">
        <v>4</v>
      </c>
      <c r="I886" s="4">
        <v>5807</v>
      </c>
      <c r="J886" s="4">
        <v>4043</v>
      </c>
      <c r="K886" s="4">
        <f>Tablo1[[#This Row],[Quantity]]*Tablo1[[#This Row],[Unit_Price]]</f>
        <v>23228</v>
      </c>
      <c r="L886" s="4">
        <f>Tablo1[[#This Row],[Sales]]-(Tablo1[[#This Row],[Quantity]]*Tablo1[[#This Row],[Unit_Cost]])</f>
        <v>7056</v>
      </c>
    </row>
    <row r="887" spans="1:12" x14ac:dyDescent="0.3">
      <c r="A887" s="2">
        <v>1886</v>
      </c>
      <c r="B887" s="7">
        <v>45416</v>
      </c>
      <c r="C887" s="8" t="s">
        <v>76</v>
      </c>
      <c r="D887" s="2" t="s">
        <v>44</v>
      </c>
      <c r="E887" s="2" t="s">
        <v>30</v>
      </c>
      <c r="F887" s="2" t="s">
        <v>31</v>
      </c>
      <c r="G887" s="2" t="s">
        <v>17</v>
      </c>
      <c r="H887" s="2">
        <v>10</v>
      </c>
      <c r="I887" s="4">
        <v>8723</v>
      </c>
      <c r="J887" s="4">
        <v>5688</v>
      </c>
      <c r="K887" s="4">
        <f>Tablo1[[#This Row],[Quantity]]*Tablo1[[#This Row],[Unit_Price]]</f>
        <v>87230</v>
      </c>
      <c r="L887" s="4">
        <f>Tablo1[[#This Row],[Sales]]-(Tablo1[[#This Row],[Quantity]]*Tablo1[[#This Row],[Unit_Cost]])</f>
        <v>30350</v>
      </c>
    </row>
    <row r="888" spans="1:12" x14ac:dyDescent="0.3">
      <c r="A888" s="2">
        <v>1887</v>
      </c>
      <c r="B888" s="7">
        <v>45495</v>
      </c>
      <c r="C888" s="8" t="s">
        <v>75</v>
      </c>
      <c r="D888" s="2" t="s">
        <v>13</v>
      </c>
      <c r="E888" s="2" t="s">
        <v>30</v>
      </c>
      <c r="F888" s="2" t="s">
        <v>29</v>
      </c>
      <c r="G888" s="2" t="s">
        <v>25</v>
      </c>
      <c r="H888" s="2">
        <v>10</v>
      </c>
      <c r="I888" s="4">
        <v>5925</v>
      </c>
      <c r="J888" s="4">
        <v>3078</v>
      </c>
      <c r="K888" s="4">
        <f>Tablo1[[#This Row],[Quantity]]*Tablo1[[#This Row],[Unit_Price]]</f>
        <v>59250</v>
      </c>
      <c r="L888" s="4">
        <f>Tablo1[[#This Row],[Sales]]-(Tablo1[[#This Row],[Quantity]]*Tablo1[[#This Row],[Unit_Cost]])</f>
        <v>28470</v>
      </c>
    </row>
    <row r="889" spans="1:12" x14ac:dyDescent="0.3">
      <c r="A889" s="2">
        <v>1888</v>
      </c>
      <c r="B889" s="7">
        <v>45610</v>
      </c>
      <c r="C889" s="8" t="s">
        <v>73</v>
      </c>
      <c r="D889" s="2" t="s">
        <v>19</v>
      </c>
      <c r="E889" s="2" t="s">
        <v>38</v>
      </c>
      <c r="F889" s="2" t="s">
        <v>39</v>
      </c>
      <c r="G889" s="2" t="s">
        <v>28</v>
      </c>
      <c r="H889" s="2">
        <v>2</v>
      </c>
      <c r="I889" s="4">
        <v>1605</v>
      </c>
      <c r="J889" s="4">
        <v>945</v>
      </c>
      <c r="K889" s="4">
        <f>Tablo1[[#This Row],[Quantity]]*Tablo1[[#This Row],[Unit_Price]]</f>
        <v>3210</v>
      </c>
      <c r="L889" s="4">
        <f>Tablo1[[#This Row],[Sales]]-(Tablo1[[#This Row],[Quantity]]*Tablo1[[#This Row],[Unit_Cost]])</f>
        <v>1320</v>
      </c>
    </row>
    <row r="890" spans="1:12" x14ac:dyDescent="0.3">
      <c r="A890" s="2">
        <v>1889</v>
      </c>
      <c r="B890" s="7">
        <v>45486</v>
      </c>
      <c r="C890" s="8" t="s">
        <v>76</v>
      </c>
      <c r="D890" s="2" t="s">
        <v>22</v>
      </c>
      <c r="E890" s="2" t="s">
        <v>38</v>
      </c>
      <c r="F890" s="2" t="s">
        <v>24</v>
      </c>
      <c r="G890" s="2" t="s">
        <v>25</v>
      </c>
      <c r="H890" s="2">
        <v>2</v>
      </c>
      <c r="I890" s="4">
        <v>7133</v>
      </c>
      <c r="J890" s="4">
        <v>5703</v>
      </c>
      <c r="K890" s="4">
        <f>Tablo1[[#This Row],[Quantity]]*Tablo1[[#This Row],[Unit_Price]]</f>
        <v>14266</v>
      </c>
      <c r="L890" s="4">
        <f>Tablo1[[#This Row],[Sales]]-(Tablo1[[#This Row],[Quantity]]*Tablo1[[#This Row],[Unit_Cost]])</f>
        <v>2860</v>
      </c>
    </row>
    <row r="891" spans="1:12" x14ac:dyDescent="0.3">
      <c r="A891" s="2">
        <v>1890</v>
      </c>
      <c r="B891" s="7">
        <v>45352</v>
      </c>
      <c r="C891" s="8" t="s">
        <v>74</v>
      </c>
      <c r="D891" s="2" t="s">
        <v>35</v>
      </c>
      <c r="E891" s="2" t="s">
        <v>38</v>
      </c>
      <c r="F891" s="2" t="s">
        <v>36</v>
      </c>
      <c r="G891" s="2" t="s">
        <v>34</v>
      </c>
      <c r="H891" s="2">
        <v>5</v>
      </c>
      <c r="I891" s="4">
        <v>1451</v>
      </c>
      <c r="J891" s="4">
        <v>1084</v>
      </c>
      <c r="K891" s="4">
        <f>Tablo1[[#This Row],[Quantity]]*Tablo1[[#This Row],[Unit_Price]]</f>
        <v>7255</v>
      </c>
      <c r="L891" s="4">
        <f>Tablo1[[#This Row],[Sales]]-(Tablo1[[#This Row],[Quantity]]*Tablo1[[#This Row],[Unit_Cost]])</f>
        <v>1835</v>
      </c>
    </row>
    <row r="892" spans="1:12" x14ac:dyDescent="0.3">
      <c r="A892" s="2">
        <v>1891</v>
      </c>
      <c r="B892" s="7">
        <v>45591</v>
      </c>
      <c r="C892" s="8" t="s">
        <v>77</v>
      </c>
      <c r="D892" s="2" t="s">
        <v>15</v>
      </c>
      <c r="E892" s="2" t="s">
        <v>30</v>
      </c>
      <c r="F892" s="2" t="s">
        <v>40</v>
      </c>
      <c r="G892" s="2" t="s">
        <v>25</v>
      </c>
      <c r="H892" s="2">
        <v>7</v>
      </c>
      <c r="I892" s="4">
        <v>6808</v>
      </c>
      <c r="J892" s="4">
        <v>4447</v>
      </c>
      <c r="K892" s="4">
        <f>Tablo1[[#This Row],[Quantity]]*Tablo1[[#This Row],[Unit_Price]]</f>
        <v>47656</v>
      </c>
      <c r="L892" s="4">
        <f>Tablo1[[#This Row],[Sales]]-(Tablo1[[#This Row],[Quantity]]*Tablo1[[#This Row],[Unit_Cost]])</f>
        <v>16527</v>
      </c>
    </row>
    <row r="893" spans="1:12" x14ac:dyDescent="0.3">
      <c r="A893" s="2">
        <v>1892</v>
      </c>
      <c r="B893" s="7">
        <v>45494</v>
      </c>
      <c r="C893" s="8" t="s">
        <v>75</v>
      </c>
      <c r="D893" s="2" t="s">
        <v>15</v>
      </c>
      <c r="E893" s="2" t="s">
        <v>38</v>
      </c>
      <c r="F893" s="2" t="s">
        <v>11</v>
      </c>
      <c r="G893" s="2" t="s">
        <v>12</v>
      </c>
      <c r="H893" s="2">
        <v>8</v>
      </c>
      <c r="I893" s="4">
        <v>23620</v>
      </c>
      <c r="J893" s="4">
        <v>17249</v>
      </c>
      <c r="K893" s="4">
        <f>Tablo1[[#This Row],[Quantity]]*Tablo1[[#This Row],[Unit_Price]]</f>
        <v>188960</v>
      </c>
      <c r="L893" s="4">
        <f>Tablo1[[#This Row],[Sales]]-(Tablo1[[#This Row],[Quantity]]*Tablo1[[#This Row],[Unit_Cost]])</f>
        <v>50968</v>
      </c>
    </row>
    <row r="894" spans="1:12" x14ac:dyDescent="0.3">
      <c r="A894" s="2">
        <v>1893</v>
      </c>
      <c r="B894" s="7">
        <v>45526</v>
      </c>
      <c r="C894" s="8" t="s">
        <v>76</v>
      </c>
      <c r="D894" s="2" t="s">
        <v>32</v>
      </c>
      <c r="E894" s="2" t="s">
        <v>26</v>
      </c>
      <c r="F894" s="2" t="s">
        <v>16</v>
      </c>
      <c r="G894" s="2" t="s">
        <v>17</v>
      </c>
      <c r="H894" s="2">
        <v>1</v>
      </c>
      <c r="I894" s="4">
        <v>8472</v>
      </c>
      <c r="J894" s="4">
        <v>5333</v>
      </c>
      <c r="K894" s="4">
        <f>Tablo1[[#This Row],[Quantity]]*Tablo1[[#This Row],[Unit_Price]]</f>
        <v>8472</v>
      </c>
      <c r="L894" s="4">
        <f>Tablo1[[#This Row],[Sales]]-(Tablo1[[#This Row],[Quantity]]*Tablo1[[#This Row],[Unit_Cost]])</f>
        <v>3139</v>
      </c>
    </row>
    <row r="895" spans="1:12" x14ac:dyDescent="0.3">
      <c r="A895" s="2">
        <v>1894</v>
      </c>
      <c r="B895" s="7">
        <v>45494</v>
      </c>
      <c r="C895" s="8" t="s">
        <v>75</v>
      </c>
      <c r="D895" s="2" t="s">
        <v>32</v>
      </c>
      <c r="E895" s="2" t="s">
        <v>20</v>
      </c>
      <c r="F895" s="2" t="s">
        <v>36</v>
      </c>
      <c r="G895" s="2" t="s">
        <v>34</v>
      </c>
      <c r="H895" s="2">
        <v>8</v>
      </c>
      <c r="I895" s="4">
        <v>5081</v>
      </c>
      <c r="J895" s="4">
        <v>3038</v>
      </c>
      <c r="K895" s="4">
        <f>Tablo1[[#This Row],[Quantity]]*Tablo1[[#This Row],[Unit_Price]]</f>
        <v>40648</v>
      </c>
      <c r="L895" s="4">
        <f>Tablo1[[#This Row],[Sales]]-(Tablo1[[#This Row],[Quantity]]*Tablo1[[#This Row],[Unit_Cost]])</f>
        <v>16344</v>
      </c>
    </row>
    <row r="896" spans="1:12" x14ac:dyDescent="0.3">
      <c r="A896" s="2">
        <v>1895</v>
      </c>
      <c r="B896" s="7">
        <v>45582</v>
      </c>
      <c r="C896" s="8" t="s">
        <v>74</v>
      </c>
      <c r="D896" s="2" t="s">
        <v>22</v>
      </c>
      <c r="E896" s="2" t="s">
        <v>23</v>
      </c>
      <c r="F896" s="2" t="s">
        <v>24</v>
      </c>
      <c r="G896" s="2" t="s">
        <v>25</v>
      </c>
      <c r="H896" s="2">
        <v>8</v>
      </c>
      <c r="I896" s="4">
        <v>2462</v>
      </c>
      <c r="J896" s="4">
        <v>1554</v>
      </c>
      <c r="K896" s="4">
        <f>Tablo1[[#This Row],[Quantity]]*Tablo1[[#This Row],[Unit_Price]]</f>
        <v>19696</v>
      </c>
      <c r="L896" s="4">
        <f>Tablo1[[#This Row],[Sales]]-(Tablo1[[#This Row],[Quantity]]*Tablo1[[#This Row],[Unit_Cost]])</f>
        <v>7264</v>
      </c>
    </row>
    <row r="897" spans="1:12" x14ac:dyDescent="0.3">
      <c r="A897" s="2">
        <v>1896</v>
      </c>
      <c r="B897" s="7">
        <v>45312</v>
      </c>
      <c r="C897" s="8" t="s">
        <v>73</v>
      </c>
      <c r="D897" s="2" t="s">
        <v>22</v>
      </c>
      <c r="E897" s="2" t="s">
        <v>23</v>
      </c>
      <c r="F897" s="2" t="s">
        <v>14</v>
      </c>
      <c r="G897" s="2" t="s">
        <v>12</v>
      </c>
      <c r="H897" s="2">
        <v>6</v>
      </c>
      <c r="I897" s="4">
        <v>23804</v>
      </c>
      <c r="J897" s="4">
        <v>18260</v>
      </c>
      <c r="K897" s="4">
        <f>Tablo1[[#This Row],[Quantity]]*Tablo1[[#This Row],[Unit_Price]]</f>
        <v>142824</v>
      </c>
      <c r="L897" s="4">
        <f>Tablo1[[#This Row],[Sales]]-(Tablo1[[#This Row],[Quantity]]*Tablo1[[#This Row],[Unit_Cost]])</f>
        <v>33264</v>
      </c>
    </row>
    <row r="898" spans="1:12" x14ac:dyDescent="0.3">
      <c r="A898" s="2">
        <v>1897</v>
      </c>
      <c r="B898" s="7">
        <v>45365</v>
      </c>
      <c r="C898" s="8" t="s">
        <v>73</v>
      </c>
      <c r="D898" s="2" t="s">
        <v>32</v>
      </c>
      <c r="E898" s="2" t="s">
        <v>20</v>
      </c>
      <c r="F898" s="2" t="s">
        <v>11</v>
      </c>
      <c r="G898" s="2" t="s">
        <v>12</v>
      </c>
      <c r="H898" s="2">
        <v>8</v>
      </c>
      <c r="I898" s="4">
        <v>5843</v>
      </c>
      <c r="J898" s="4">
        <v>3704</v>
      </c>
      <c r="K898" s="4">
        <f>Tablo1[[#This Row],[Quantity]]*Tablo1[[#This Row],[Unit_Price]]</f>
        <v>46744</v>
      </c>
      <c r="L898" s="4">
        <f>Tablo1[[#This Row],[Sales]]-(Tablo1[[#This Row],[Quantity]]*Tablo1[[#This Row],[Unit_Cost]])</f>
        <v>17112</v>
      </c>
    </row>
    <row r="899" spans="1:12" x14ac:dyDescent="0.3">
      <c r="A899" s="2">
        <v>1898</v>
      </c>
      <c r="B899" s="7">
        <v>45642</v>
      </c>
      <c r="C899" s="8" t="s">
        <v>75</v>
      </c>
      <c r="D899" s="2" t="s">
        <v>35</v>
      </c>
      <c r="E899" s="2" t="s">
        <v>30</v>
      </c>
      <c r="F899" s="2" t="s">
        <v>47</v>
      </c>
      <c r="G899" s="2" t="s">
        <v>25</v>
      </c>
      <c r="H899" s="2">
        <v>2</v>
      </c>
      <c r="I899" s="4">
        <v>4627</v>
      </c>
      <c r="J899" s="4">
        <v>3281</v>
      </c>
      <c r="K899" s="4">
        <f>Tablo1[[#This Row],[Quantity]]*Tablo1[[#This Row],[Unit_Price]]</f>
        <v>9254</v>
      </c>
      <c r="L899" s="4">
        <f>Tablo1[[#This Row],[Sales]]-(Tablo1[[#This Row],[Quantity]]*Tablo1[[#This Row],[Unit_Cost]])</f>
        <v>2692</v>
      </c>
    </row>
    <row r="900" spans="1:12" x14ac:dyDescent="0.3">
      <c r="A900" s="2">
        <v>1899</v>
      </c>
      <c r="B900" s="7">
        <v>45619</v>
      </c>
      <c r="C900" s="8" t="s">
        <v>74</v>
      </c>
      <c r="D900" s="2" t="s">
        <v>13</v>
      </c>
      <c r="E900" s="2" t="s">
        <v>20</v>
      </c>
      <c r="F900" s="2" t="s">
        <v>39</v>
      </c>
      <c r="G900" s="2" t="s">
        <v>28</v>
      </c>
      <c r="H900" s="2">
        <v>9</v>
      </c>
      <c r="I900" s="4">
        <v>1075</v>
      </c>
      <c r="J900" s="4">
        <v>822</v>
      </c>
      <c r="K900" s="4">
        <f>Tablo1[[#This Row],[Quantity]]*Tablo1[[#This Row],[Unit_Price]]</f>
        <v>9675</v>
      </c>
      <c r="L900" s="4">
        <f>Tablo1[[#This Row],[Sales]]-(Tablo1[[#This Row],[Quantity]]*Tablo1[[#This Row],[Unit_Cost]])</f>
        <v>2277</v>
      </c>
    </row>
    <row r="901" spans="1:12" x14ac:dyDescent="0.3">
      <c r="A901" s="2">
        <v>1900</v>
      </c>
      <c r="B901" s="7">
        <v>45440</v>
      </c>
      <c r="C901" s="8" t="s">
        <v>76</v>
      </c>
      <c r="D901" s="2" t="s">
        <v>35</v>
      </c>
      <c r="E901" s="2" t="s">
        <v>23</v>
      </c>
      <c r="F901" s="2" t="s">
        <v>47</v>
      </c>
      <c r="G901" s="2" t="s">
        <v>25</v>
      </c>
      <c r="H901" s="2">
        <v>4</v>
      </c>
      <c r="I901" s="4">
        <v>6329</v>
      </c>
      <c r="J901" s="4">
        <v>3577</v>
      </c>
      <c r="K901" s="4">
        <f>Tablo1[[#This Row],[Quantity]]*Tablo1[[#This Row],[Unit_Price]]</f>
        <v>25316</v>
      </c>
      <c r="L901" s="4">
        <f>Tablo1[[#This Row],[Sales]]-(Tablo1[[#This Row],[Quantity]]*Tablo1[[#This Row],[Unit_Cost]])</f>
        <v>11008</v>
      </c>
    </row>
    <row r="902" spans="1:12" x14ac:dyDescent="0.3">
      <c r="A902" s="2">
        <v>1901</v>
      </c>
      <c r="B902" s="7">
        <v>45377</v>
      </c>
      <c r="C902" s="8" t="s">
        <v>75</v>
      </c>
      <c r="D902" s="2" t="s">
        <v>35</v>
      </c>
      <c r="E902" s="2" t="s">
        <v>23</v>
      </c>
      <c r="F902" s="2" t="s">
        <v>47</v>
      </c>
      <c r="G902" s="2" t="s">
        <v>25</v>
      </c>
      <c r="H902" s="2">
        <v>5</v>
      </c>
      <c r="I902" s="4">
        <v>4710</v>
      </c>
      <c r="J902" s="4">
        <v>3433</v>
      </c>
      <c r="K902" s="4">
        <f>Tablo1[[#This Row],[Quantity]]*Tablo1[[#This Row],[Unit_Price]]</f>
        <v>23550</v>
      </c>
      <c r="L902" s="4">
        <f>Tablo1[[#This Row],[Sales]]-(Tablo1[[#This Row],[Quantity]]*Tablo1[[#This Row],[Unit_Cost]])</f>
        <v>6385</v>
      </c>
    </row>
    <row r="903" spans="1:12" x14ac:dyDescent="0.3">
      <c r="A903" s="2">
        <v>1902</v>
      </c>
      <c r="B903" s="7">
        <v>45390</v>
      </c>
      <c r="C903" s="8" t="s">
        <v>73</v>
      </c>
      <c r="D903" s="2" t="s">
        <v>43</v>
      </c>
      <c r="E903" s="2" t="s">
        <v>30</v>
      </c>
      <c r="F903" s="2" t="s">
        <v>24</v>
      </c>
      <c r="G903" s="2" t="s">
        <v>25</v>
      </c>
      <c r="H903" s="2">
        <v>5</v>
      </c>
      <c r="I903" s="4">
        <v>1037</v>
      </c>
      <c r="J903" s="4">
        <v>538</v>
      </c>
      <c r="K903" s="4">
        <f>Tablo1[[#This Row],[Quantity]]*Tablo1[[#This Row],[Unit_Price]]</f>
        <v>5185</v>
      </c>
      <c r="L903" s="4">
        <f>Tablo1[[#This Row],[Sales]]-(Tablo1[[#This Row],[Quantity]]*Tablo1[[#This Row],[Unit_Cost]])</f>
        <v>2495</v>
      </c>
    </row>
    <row r="904" spans="1:12" x14ac:dyDescent="0.3">
      <c r="A904" s="2">
        <v>1903</v>
      </c>
      <c r="B904" s="7">
        <v>45530</v>
      </c>
      <c r="C904" s="8" t="s">
        <v>76</v>
      </c>
      <c r="D904" s="2" t="s">
        <v>32</v>
      </c>
      <c r="E904" s="2" t="s">
        <v>38</v>
      </c>
      <c r="F904" s="2" t="s">
        <v>40</v>
      </c>
      <c r="G904" s="2" t="s">
        <v>25</v>
      </c>
      <c r="H904" s="2">
        <v>9</v>
      </c>
      <c r="I904" s="4">
        <v>6363</v>
      </c>
      <c r="J904" s="4">
        <v>4936</v>
      </c>
      <c r="K904" s="4">
        <f>Tablo1[[#This Row],[Quantity]]*Tablo1[[#This Row],[Unit_Price]]</f>
        <v>57267</v>
      </c>
      <c r="L904" s="4">
        <f>Tablo1[[#This Row],[Sales]]-(Tablo1[[#This Row],[Quantity]]*Tablo1[[#This Row],[Unit_Cost]])</f>
        <v>12843</v>
      </c>
    </row>
    <row r="905" spans="1:12" x14ac:dyDescent="0.3">
      <c r="A905" s="2">
        <v>1904</v>
      </c>
      <c r="B905" s="7">
        <v>45453</v>
      </c>
      <c r="C905" s="8" t="s">
        <v>74</v>
      </c>
      <c r="D905" s="2" t="s">
        <v>44</v>
      </c>
      <c r="E905" s="2" t="s">
        <v>26</v>
      </c>
      <c r="F905" s="2" t="s">
        <v>46</v>
      </c>
      <c r="G905" s="2" t="s">
        <v>17</v>
      </c>
      <c r="H905" s="2">
        <v>2</v>
      </c>
      <c r="I905" s="4">
        <v>9199</v>
      </c>
      <c r="J905" s="4">
        <v>6305</v>
      </c>
      <c r="K905" s="4">
        <f>Tablo1[[#This Row],[Quantity]]*Tablo1[[#This Row],[Unit_Price]]</f>
        <v>18398</v>
      </c>
      <c r="L905" s="4">
        <f>Tablo1[[#This Row],[Sales]]-(Tablo1[[#This Row],[Quantity]]*Tablo1[[#This Row],[Unit_Cost]])</f>
        <v>5788</v>
      </c>
    </row>
    <row r="906" spans="1:12" x14ac:dyDescent="0.3">
      <c r="A906" s="2">
        <v>1905</v>
      </c>
      <c r="B906" s="7">
        <v>45468</v>
      </c>
      <c r="C906" s="8" t="s">
        <v>77</v>
      </c>
      <c r="D906" s="2" t="s">
        <v>41</v>
      </c>
      <c r="E906" s="2" t="s">
        <v>23</v>
      </c>
      <c r="F906" s="2" t="s">
        <v>47</v>
      </c>
      <c r="G906" s="2" t="s">
        <v>25</v>
      </c>
      <c r="H906" s="2">
        <v>10</v>
      </c>
      <c r="I906" s="4">
        <v>4419</v>
      </c>
      <c r="J906" s="4">
        <v>3342</v>
      </c>
      <c r="K906" s="4">
        <f>Tablo1[[#This Row],[Quantity]]*Tablo1[[#This Row],[Unit_Price]]</f>
        <v>44190</v>
      </c>
      <c r="L906" s="4">
        <f>Tablo1[[#This Row],[Sales]]-(Tablo1[[#This Row],[Quantity]]*Tablo1[[#This Row],[Unit_Cost]])</f>
        <v>10770</v>
      </c>
    </row>
    <row r="907" spans="1:12" x14ac:dyDescent="0.3">
      <c r="A907" s="2">
        <v>1906</v>
      </c>
      <c r="B907" s="7">
        <v>45485</v>
      </c>
      <c r="C907" s="8" t="s">
        <v>75</v>
      </c>
      <c r="D907" s="2" t="s">
        <v>43</v>
      </c>
      <c r="E907" s="2" t="s">
        <v>26</v>
      </c>
      <c r="F907" s="2" t="s">
        <v>42</v>
      </c>
      <c r="G907" s="2" t="s">
        <v>12</v>
      </c>
      <c r="H907" s="2">
        <v>2</v>
      </c>
      <c r="I907" s="4">
        <v>15692</v>
      </c>
      <c r="J907" s="4">
        <v>8974</v>
      </c>
      <c r="K907" s="4">
        <f>Tablo1[[#This Row],[Quantity]]*Tablo1[[#This Row],[Unit_Price]]</f>
        <v>31384</v>
      </c>
      <c r="L907" s="4">
        <f>Tablo1[[#This Row],[Sales]]-(Tablo1[[#This Row],[Quantity]]*Tablo1[[#This Row],[Unit_Cost]])</f>
        <v>13436</v>
      </c>
    </row>
    <row r="908" spans="1:12" x14ac:dyDescent="0.3">
      <c r="A908" s="2">
        <v>1907</v>
      </c>
      <c r="B908" s="7">
        <v>45499</v>
      </c>
      <c r="C908" s="8" t="s">
        <v>76</v>
      </c>
      <c r="D908" s="2" t="s">
        <v>35</v>
      </c>
      <c r="E908" s="2" t="s">
        <v>38</v>
      </c>
      <c r="F908" s="2" t="s">
        <v>36</v>
      </c>
      <c r="G908" s="2" t="s">
        <v>34</v>
      </c>
      <c r="H908" s="2">
        <v>4</v>
      </c>
      <c r="I908" s="4">
        <v>4315</v>
      </c>
      <c r="J908" s="4">
        <v>3166</v>
      </c>
      <c r="K908" s="4">
        <f>Tablo1[[#This Row],[Quantity]]*Tablo1[[#This Row],[Unit_Price]]</f>
        <v>17260</v>
      </c>
      <c r="L908" s="4">
        <f>Tablo1[[#This Row],[Sales]]-(Tablo1[[#This Row],[Quantity]]*Tablo1[[#This Row],[Unit_Cost]])</f>
        <v>4596</v>
      </c>
    </row>
    <row r="909" spans="1:12" x14ac:dyDescent="0.3">
      <c r="A909" s="2">
        <v>1908</v>
      </c>
      <c r="B909" s="7">
        <v>45415</v>
      </c>
      <c r="C909" s="8" t="s">
        <v>75</v>
      </c>
      <c r="D909" s="2" t="s">
        <v>41</v>
      </c>
      <c r="E909" s="2" t="s">
        <v>38</v>
      </c>
      <c r="F909" s="2" t="s">
        <v>11</v>
      </c>
      <c r="G909" s="2" t="s">
        <v>12</v>
      </c>
      <c r="H909" s="2">
        <v>8</v>
      </c>
      <c r="I909" s="4">
        <v>22547</v>
      </c>
      <c r="J909" s="4">
        <v>14580</v>
      </c>
      <c r="K909" s="4">
        <f>Tablo1[[#This Row],[Quantity]]*Tablo1[[#This Row],[Unit_Price]]</f>
        <v>180376</v>
      </c>
      <c r="L909" s="4">
        <f>Tablo1[[#This Row],[Sales]]-(Tablo1[[#This Row],[Quantity]]*Tablo1[[#This Row],[Unit_Cost]])</f>
        <v>63736</v>
      </c>
    </row>
    <row r="910" spans="1:12" x14ac:dyDescent="0.3">
      <c r="A910" s="2">
        <v>1909</v>
      </c>
      <c r="B910" s="7">
        <v>45406</v>
      </c>
      <c r="C910" s="8" t="s">
        <v>74</v>
      </c>
      <c r="D910" s="2" t="s">
        <v>15</v>
      </c>
      <c r="E910" s="2" t="s">
        <v>26</v>
      </c>
      <c r="F910" s="2" t="s">
        <v>36</v>
      </c>
      <c r="G910" s="2" t="s">
        <v>34</v>
      </c>
      <c r="H910" s="2">
        <v>10</v>
      </c>
      <c r="I910" s="4">
        <v>636</v>
      </c>
      <c r="J910" s="4">
        <v>336</v>
      </c>
      <c r="K910" s="4">
        <f>Tablo1[[#This Row],[Quantity]]*Tablo1[[#This Row],[Unit_Price]]</f>
        <v>6360</v>
      </c>
      <c r="L910" s="4">
        <f>Tablo1[[#This Row],[Sales]]-(Tablo1[[#This Row],[Quantity]]*Tablo1[[#This Row],[Unit_Cost]])</f>
        <v>3000</v>
      </c>
    </row>
    <row r="911" spans="1:12" x14ac:dyDescent="0.3">
      <c r="A911" s="2">
        <v>1910</v>
      </c>
      <c r="B911" s="7">
        <v>45360</v>
      </c>
      <c r="C911" s="8" t="s">
        <v>73</v>
      </c>
      <c r="D911" s="2" t="s">
        <v>32</v>
      </c>
      <c r="E911" s="2" t="s">
        <v>26</v>
      </c>
      <c r="F911" s="2" t="s">
        <v>21</v>
      </c>
      <c r="G911" s="2" t="s">
        <v>17</v>
      </c>
      <c r="H911" s="2">
        <v>9</v>
      </c>
      <c r="I911" s="4">
        <v>4453</v>
      </c>
      <c r="J911" s="4">
        <v>3345</v>
      </c>
      <c r="K911" s="4">
        <f>Tablo1[[#This Row],[Quantity]]*Tablo1[[#This Row],[Unit_Price]]</f>
        <v>40077</v>
      </c>
      <c r="L911" s="4">
        <f>Tablo1[[#This Row],[Sales]]-(Tablo1[[#This Row],[Quantity]]*Tablo1[[#This Row],[Unit_Cost]])</f>
        <v>9972</v>
      </c>
    </row>
    <row r="912" spans="1:12" x14ac:dyDescent="0.3">
      <c r="A912" s="2">
        <v>1911</v>
      </c>
      <c r="B912" s="7">
        <v>45615</v>
      </c>
      <c r="C912" s="8" t="s">
        <v>73</v>
      </c>
      <c r="D912" s="2" t="s">
        <v>43</v>
      </c>
      <c r="E912" s="2" t="s">
        <v>23</v>
      </c>
      <c r="F912" s="2" t="s">
        <v>45</v>
      </c>
      <c r="G912" s="2" t="s">
        <v>34</v>
      </c>
      <c r="H912" s="2">
        <v>4</v>
      </c>
      <c r="I912" s="4">
        <v>4296</v>
      </c>
      <c r="J912" s="4">
        <v>2207</v>
      </c>
      <c r="K912" s="4">
        <f>Tablo1[[#This Row],[Quantity]]*Tablo1[[#This Row],[Unit_Price]]</f>
        <v>17184</v>
      </c>
      <c r="L912" s="4">
        <f>Tablo1[[#This Row],[Sales]]-(Tablo1[[#This Row],[Quantity]]*Tablo1[[#This Row],[Unit_Cost]])</f>
        <v>8356</v>
      </c>
    </row>
    <row r="913" spans="1:12" x14ac:dyDescent="0.3">
      <c r="A913" s="2">
        <v>1912</v>
      </c>
      <c r="B913" s="7">
        <v>45447</v>
      </c>
      <c r="C913" s="8" t="s">
        <v>75</v>
      </c>
      <c r="D913" s="2" t="s">
        <v>19</v>
      </c>
      <c r="E913" s="2" t="s">
        <v>30</v>
      </c>
      <c r="F913" s="2" t="s">
        <v>27</v>
      </c>
      <c r="G913" s="2" t="s">
        <v>28</v>
      </c>
      <c r="H913" s="2">
        <v>7</v>
      </c>
      <c r="I913" s="4">
        <v>1746</v>
      </c>
      <c r="J913" s="4">
        <v>949</v>
      </c>
      <c r="K913" s="4">
        <f>Tablo1[[#This Row],[Quantity]]*Tablo1[[#This Row],[Unit_Price]]</f>
        <v>12222</v>
      </c>
      <c r="L913" s="4">
        <f>Tablo1[[#This Row],[Sales]]-(Tablo1[[#This Row],[Quantity]]*Tablo1[[#This Row],[Unit_Cost]])</f>
        <v>5579</v>
      </c>
    </row>
    <row r="914" spans="1:12" x14ac:dyDescent="0.3">
      <c r="A914" s="2">
        <v>1913</v>
      </c>
      <c r="B914" s="7">
        <v>45449</v>
      </c>
      <c r="C914" s="8" t="s">
        <v>74</v>
      </c>
      <c r="D914" s="2" t="s">
        <v>15</v>
      </c>
      <c r="E914" s="2" t="s">
        <v>20</v>
      </c>
      <c r="F914" s="2" t="s">
        <v>29</v>
      </c>
      <c r="G914" s="2" t="s">
        <v>25</v>
      </c>
      <c r="H914" s="2">
        <v>10</v>
      </c>
      <c r="I914" s="4">
        <v>2253</v>
      </c>
      <c r="J914" s="4">
        <v>1420</v>
      </c>
      <c r="K914" s="4">
        <f>Tablo1[[#This Row],[Quantity]]*Tablo1[[#This Row],[Unit_Price]]</f>
        <v>22530</v>
      </c>
      <c r="L914" s="4">
        <f>Tablo1[[#This Row],[Sales]]-(Tablo1[[#This Row],[Quantity]]*Tablo1[[#This Row],[Unit_Cost]])</f>
        <v>8330</v>
      </c>
    </row>
    <row r="915" spans="1:12" x14ac:dyDescent="0.3">
      <c r="A915" s="2">
        <v>1914</v>
      </c>
      <c r="B915" s="7">
        <v>45324</v>
      </c>
      <c r="C915" s="8" t="s">
        <v>76</v>
      </c>
      <c r="D915" s="2" t="s">
        <v>32</v>
      </c>
      <c r="E915" s="2" t="s">
        <v>26</v>
      </c>
      <c r="F915" s="2" t="s">
        <v>47</v>
      </c>
      <c r="G915" s="2" t="s">
        <v>25</v>
      </c>
      <c r="H915" s="2">
        <v>8</v>
      </c>
      <c r="I915" s="4">
        <v>1599</v>
      </c>
      <c r="J915" s="4">
        <v>832</v>
      </c>
      <c r="K915" s="4">
        <f>Tablo1[[#This Row],[Quantity]]*Tablo1[[#This Row],[Unit_Price]]</f>
        <v>12792</v>
      </c>
      <c r="L915" s="4">
        <f>Tablo1[[#This Row],[Sales]]-(Tablo1[[#This Row],[Quantity]]*Tablo1[[#This Row],[Unit_Cost]])</f>
        <v>6136</v>
      </c>
    </row>
    <row r="916" spans="1:12" x14ac:dyDescent="0.3">
      <c r="A916" s="2">
        <v>1915</v>
      </c>
      <c r="B916" s="7">
        <v>45492</v>
      </c>
      <c r="C916" s="8" t="s">
        <v>75</v>
      </c>
      <c r="D916" s="2" t="s">
        <v>32</v>
      </c>
      <c r="E916" s="2" t="s">
        <v>30</v>
      </c>
      <c r="F916" s="2" t="s">
        <v>14</v>
      </c>
      <c r="G916" s="2" t="s">
        <v>12</v>
      </c>
      <c r="H916" s="2">
        <v>10</v>
      </c>
      <c r="I916" s="4">
        <v>16483</v>
      </c>
      <c r="J916" s="4">
        <v>10248</v>
      </c>
      <c r="K916" s="4">
        <f>Tablo1[[#This Row],[Quantity]]*Tablo1[[#This Row],[Unit_Price]]</f>
        <v>164830</v>
      </c>
      <c r="L916" s="4">
        <f>Tablo1[[#This Row],[Sales]]-(Tablo1[[#This Row],[Quantity]]*Tablo1[[#This Row],[Unit_Cost]])</f>
        <v>62350</v>
      </c>
    </row>
    <row r="917" spans="1:12" x14ac:dyDescent="0.3">
      <c r="A917" s="2">
        <v>1916</v>
      </c>
      <c r="B917" s="7">
        <v>45626</v>
      </c>
      <c r="C917" s="8" t="s">
        <v>73</v>
      </c>
      <c r="D917" s="2" t="s">
        <v>35</v>
      </c>
      <c r="E917" s="2" t="s">
        <v>38</v>
      </c>
      <c r="F917" s="2" t="s">
        <v>42</v>
      </c>
      <c r="G917" s="2" t="s">
        <v>12</v>
      </c>
      <c r="H917" s="2">
        <v>6</v>
      </c>
      <c r="I917" s="4">
        <v>7123</v>
      </c>
      <c r="J917" s="4">
        <v>5455</v>
      </c>
      <c r="K917" s="4">
        <f>Tablo1[[#This Row],[Quantity]]*Tablo1[[#This Row],[Unit_Price]]</f>
        <v>42738</v>
      </c>
      <c r="L917" s="4">
        <f>Tablo1[[#This Row],[Sales]]-(Tablo1[[#This Row],[Quantity]]*Tablo1[[#This Row],[Unit_Cost]])</f>
        <v>10008</v>
      </c>
    </row>
    <row r="918" spans="1:12" x14ac:dyDescent="0.3">
      <c r="A918" s="2">
        <v>1917</v>
      </c>
      <c r="B918" s="7">
        <v>45445</v>
      </c>
      <c r="C918" s="8" t="s">
        <v>76</v>
      </c>
      <c r="D918" s="2" t="s">
        <v>35</v>
      </c>
      <c r="E918" s="2" t="s">
        <v>26</v>
      </c>
      <c r="F918" s="2" t="s">
        <v>29</v>
      </c>
      <c r="G918" s="2" t="s">
        <v>25</v>
      </c>
      <c r="H918" s="2">
        <v>8</v>
      </c>
      <c r="I918" s="4">
        <v>7123</v>
      </c>
      <c r="J918" s="4">
        <v>4439</v>
      </c>
      <c r="K918" s="4">
        <f>Tablo1[[#This Row],[Quantity]]*Tablo1[[#This Row],[Unit_Price]]</f>
        <v>56984</v>
      </c>
      <c r="L918" s="4">
        <f>Tablo1[[#This Row],[Sales]]-(Tablo1[[#This Row],[Quantity]]*Tablo1[[#This Row],[Unit_Cost]])</f>
        <v>21472</v>
      </c>
    </row>
    <row r="919" spans="1:12" x14ac:dyDescent="0.3">
      <c r="A919" s="2">
        <v>1918</v>
      </c>
      <c r="B919" s="7">
        <v>45647</v>
      </c>
      <c r="C919" s="8" t="s">
        <v>74</v>
      </c>
      <c r="D919" s="2" t="s">
        <v>22</v>
      </c>
      <c r="E919" s="2" t="s">
        <v>26</v>
      </c>
      <c r="F919" s="2" t="s">
        <v>48</v>
      </c>
      <c r="G919" s="2" t="s">
        <v>34</v>
      </c>
      <c r="H919" s="2">
        <v>2</v>
      </c>
      <c r="I919" s="4">
        <v>6566</v>
      </c>
      <c r="J919" s="4">
        <v>3948</v>
      </c>
      <c r="K919" s="4">
        <f>Tablo1[[#This Row],[Quantity]]*Tablo1[[#This Row],[Unit_Price]]</f>
        <v>13132</v>
      </c>
      <c r="L919" s="4">
        <f>Tablo1[[#This Row],[Sales]]-(Tablo1[[#This Row],[Quantity]]*Tablo1[[#This Row],[Unit_Cost]])</f>
        <v>5236</v>
      </c>
    </row>
    <row r="920" spans="1:12" x14ac:dyDescent="0.3">
      <c r="A920" s="2">
        <v>1919</v>
      </c>
      <c r="B920" s="7">
        <v>45567</v>
      </c>
      <c r="C920" s="8" t="s">
        <v>77</v>
      </c>
      <c r="D920" s="2" t="s">
        <v>19</v>
      </c>
      <c r="E920" s="2" t="s">
        <v>38</v>
      </c>
      <c r="F920" s="2" t="s">
        <v>11</v>
      </c>
      <c r="G920" s="2" t="s">
        <v>12</v>
      </c>
      <c r="H920" s="2">
        <v>5</v>
      </c>
      <c r="I920" s="4">
        <v>17172</v>
      </c>
      <c r="J920" s="4">
        <v>11866</v>
      </c>
      <c r="K920" s="4">
        <f>Tablo1[[#This Row],[Quantity]]*Tablo1[[#This Row],[Unit_Price]]</f>
        <v>85860</v>
      </c>
      <c r="L920" s="4">
        <f>Tablo1[[#This Row],[Sales]]-(Tablo1[[#This Row],[Quantity]]*Tablo1[[#This Row],[Unit_Cost]])</f>
        <v>26530</v>
      </c>
    </row>
    <row r="921" spans="1:12" x14ac:dyDescent="0.3">
      <c r="A921" s="2">
        <v>1920</v>
      </c>
      <c r="B921" s="7">
        <v>45498</v>
      </c>
      <c r="C921" s="8" t="s">
        <v>75</v>
      </c>
      <c r="D921" s="2" t="s">
        <v>41</v>
      </c>
      <c r="E921" s="2" t="s">
        <v>23</v>
      </c>
      <c r="F921" s="2" t="s">
        <v>50</v>
      </c>
      <c r="G921" s="2" t="s">
        <v>28</v>
      </c>
      <c r="H921" s="2">
        <v>9</v>
      </c>
      <c r="I921" s="4">
        <v>1828</v>
      </c>
      <c r="J921" s="4">
        <v>1400</v>
      </c>
      <c r="K921" s="4">
        <f>Tablo1[[#This Row],[Quantity]]*Tablo1[[#This Row],[Unit_Price]]</f>
        <v>16452</v>
      </c>
      <c r="L921" s="4">
        <f>Tablo1[[#This Row],[Sales]]-(Tablo1[[#This Row],[Quantity]]*Tablo1[[#This Row],[Unit_Cost]])</f>
        <v>3852</v>
      </c>
    </row>
    <row r="922" spans="1:12" x14ac:dyDescent="0.3">
      <c r="A922" s="2">
        <v>1921</v>
      </c>
      <c r="B922" s="7">
        <v>45531</v>
      </c>
      <c r="C922" s="8" t="s">
        <v>76</v>
      </c>
      <c r="D922" s="2" t="s">
        <v>32</v>
      </c>
      <c r="E922" s="2" t="s">
        <v>38</v>
      </c>
      <c r="F922" s="2" t="s">
        <v>36</v>
      </c>
      <c r="G922" s="2" t="s">
        <v>34</v>
      </c>
      <c r="H922" s="2">
        <v>10</v>
      </c>
      <c r="I922" s="4">
        <v>2607</v>
      </c>
      <c r="J922" s="4">
        <v>1935</v>
      </c>
      <c r="K922" s="4">
        <f>Tablo1[[#This Row],[Quantity]]*Tablo1[[#This Row],[Unit_Price]]</f>
        <v>26070</v>
      </c>
      <c r="L922" s="4">
        <f>Tablo1[[#This Row],[Sales]]-(Tablo1[[#This Row],[Quantity]]*Tablo1[[#This Row],[Unit_Cost]])</f>
        <v>6720</v>
      </c>
    </row>
    <row r="923" spans="1:12" x14ac:dyDescent="0.3">
      <c r="A923" s="2">
        <v>1922</v>
      </c>
      <c r="B923" s="7">
        <v>45377</v>
      </c>
      <c r="C923" s="8" t="s">
        <v>75</v>
      </c>
      <c r="D923" s="2" t="s">
        <v>19</v>
      </c>
      <c r="E923" s="2" t="s">
        <v>20</v>
      </c>
      <c r="F923" s="2" t="s">
        <v>42</v>
      </c>
      <c r="G923" s="2" t="s">
        <v>12</v>
      </c>
      <c r="H923" s="2">
        <v>5</v>
      </c>
      <c r="I923" s="4">
        <v>13210</v>
      </c>
      <c r="J923" s="4">
        <v>8569</v>
      </c>
      <c r="K923" s="4">
        <f>Tablo1[[#This Row],[Quantity]]*Tablo1[[#This Row],[Unit_Price]]</f>
        <v>66050</v>
      </c>
      <c r="L923" s="4">
        <f>Tablo1[[#This Row],[Sales]]-(Tablo1[[#This Row],[Quantity]]*Tablo1[[#This Row],[Unit_Cost]])</f>
        <v>23205</v>
      </c>
    </row>
    <row r="924" spans="1:12" x14ac:dyDescent="0.3">
      <c r="A924" s="2">
        <v>1923</v>
      </c>
      <c r="B924" s="7">
        <v>45560</v>
      </c>
      <c r="C924" s="8" t="s">
        <v>74</v>
      </c>
      <c r="D924" s="2" t="s">
        <v>19</v>
      </c>
      <c r="E924" s="2" t="s">
        <v>23</v>
      </c>
      <c r="F924" s="2" t="s">
        <v>11</v>
      </c>
      <c r="G924" s="2" t="s">
        <v>12</v>
      </c>
      <c r="H924" s="2">
        <v>4</v>
      </c>
      <c r="I924" s="4">
        <v>18555</v>
      </c>
      <c r="J924" s="4">
        <v>12230</v>
      </c>
      <c r="K924" s="4">
        <f>Tablo1[[#This Row],[Quantity]]*Tablo1[[#This Row],[Unit_Price]]</f>
        <v>74220</v>
      </c>
      <c r="L924" s="4">
        <f>Tablo1[[#This Row],[Sales]]-(Tablo1[[#This Row],[Quantity]]*Tablo1[[#This Row],[Unit_Cost]])</f>
        <v>25300</v>
      </c>
    </row>
    <row r="925" spans="1:12" x14ac:dyDescent="0.3">
      <c r="A925" s="2">
        <v>1924</v>
      </c>
      <c r="B925" s="7">
        <v>45307</v>
      </c>
      <c r="C925" s="8" t="s">
        <v>73</v>
      </c>
      <c r="D925" s="2" t="s">
        <v>15</v>
      </c>
      <c r="E925" s="2" t="s">
        <v>20</v>
      </c>
      <c r="F925" s="2" t="s">
        <v>11</v>
      </c>
      <c r="G925" s="2" t="s">
        <v>12</v>
      </c>
      <c r="H925" s="2">
        <v>1</v>
      </c>
      <c r="I925" s="4">
        <v>13388</v>
      </c>
      <c r="J925" s="4">
        <v>7106</v>
      </c>
      <c r="K925" s="4">
        <f>Tablo1[[#This Row],[Quantity]]*Tablo1[[#This Row],[Unit_Price]]</f>
        <v>13388</v>
      </c>
      <c r="L925" s="4">
        <f>Tablo1[[#This Row],[Sales]]-(Tablo1[[#This Row],[Quantity]]*Tablo1[[#This Row],[Unit_Cost]])</f>
        <v>6282</v>
      </c>
    </row>
    <row r="926" spans="1:12" x14ac:dyDescent="0.3">
      <c r="A926" s="2">
        <v>1925</v>
      </c>
      <c r="B926" s="7">
        <v>45495</v>
      </c>
      <c r="C926" s="8" t="s">
        <v>73</v>
      </c>
      <c r="D926" s="2" t="s">
        <v>35</v>
      </c>
      <c r="E926" s="2" t="s">
        <v>38</v>
      </c>
      <c r="F926" s="2" t="s">
        <v>14</v>
      </c>
      <c r="G926" s="2" t="s">
        <v>12</v>
      </c>
      <c r="H926" s="2">
        <v>8</v>
      </c>
      <c r="I926" s="4">
        <v>9912</v>
      </c>
      <c r="J926" s="4">
        <v>6577</v>
      </c>
      <c r="K926" s="4">
        <f>Tablo1[[#This Row],[Quantity]]*Tablo1[[#This Row],[Unit_Price]]</f>
        <v>79296</v>
      </c>
      <c r="L926" s="4">
        <f>Tablo1[[#This Row],[Sales]]-(Tablo1[[#This Row],[Quantity]]*Tablo1[[#This Row],[Unit_Cost]])</f>
        <v>26680</v>
      </c>
    </row>
    <row r="927" spans="1:12" x14ac:dyDescent="0.3">
      <c r="A927" s="2">
        <v>1926</v>
      </c>
      <c r="B927" s="7">
        <v>45319</v>
      </c>
      <c r="C927" s="8" t="s">
        <v>75</v>
      </c>
      <c r="D927" s="2" t="s">
        <v>32</v>
      </c>
      <c r="E927" s="2" t="s">
        <v>38</v>
      </c>
      <c r="F927" s="2" t="s">
        <v>50</v>
      </c>
      <c r="G927" s="2" t="s">
        <v>28</v>
      </c>
      <c r="H927" s="2">
        <v>4</v>
      </c>
      <c r="I927" s="4">
        <v>1474</v>
      </c>
      <c r="J927" s="4">
        <v>741</v>
      </c>
      <c r="K927" s="4">
        <f>Tablo1[[#This Row],[Quantity]]*Tablo1[[#This Row],[Unit_Price]]</f>
        <v>5896</v>
      </c>
      <c r="L927" s="4">
        <f>Tablo1[[#This Row],[Sales]]-(Tablo1[[#This Row],[Quantity]]*Tablo1[[#This Row],[Unit_Cost]])</f>
        <v>2932</v>
      </c>
    </row>
    <row r="928" spans="1:12" x14ac:dyDescent="0.3">
      <c r="A928" s="2">
        <v>1927</v>
      </c>
      <c r="B928" s="7">
        <v>45415</v>
      </c>
      <c r="C928" s="8" t="s">
        <v>74</v>
      </c>
      <c r="D928" s="2" t="s">
        <v>35</v>
      </c>
      <c r="E928" s="2" t="s">
        <v>30</v>
      </c>
      <c r="F928" s="2" t="s">
        <v>50</v>
      </c>
      <c r="G928" s="2" t="s">
        <v>28</v>
      </c>
      <c r="H928" s="2">
        <v>10</v>
      </c>
      <c r="I928" s="4">
        <v>2967</v>
      </c>
      <c r="J928" s="4">
        <v>1530</v>
      </c>
      <c r="K928" s="4">
        <f>Tablo1[[#This Row],[Quantity]]*Tablo1[[#This Row],[Unit_Price]]</f>
        <v>29670</v>
      </c>
      <c r="L928" s="4">
        <f>Tablo1[[#This Row],[Sales]]-(Tablo1[[#This Row],[Quantity]]*Tablo1[[#This Row],[Unit_Cost]])</f>
        <v>14370</v>
      </c>
    </row>
    <row r="929" spans="1:12" x14ac:dyDescent="0.3">
      <c r="A929" s="2">
        <v>1928</v>
      </c>
      <c r="B929" s="7">
        <v>45599</v>
      </c>
      <c r="C929" s="8" t="s">
        <v>76</v>
      </c>
      <c r="D929" s="2" t="s">
        <v>13</v>
      </c>
      <c r="E929" s="2" t="s">
        <v>20</v>
      </c>
      <c r="F929" s="2" t="s">
        <v>50</v>
      </c>
      <c r="G929" s="2" t="s">
        <v>28</v>
      </c>
      <c r="H929" s="2">
        <v>7</v>
      </c>
      <c r="I929" s="4">
        <v>3189</v>
      </c>
      <c r="J929" s="4">
        <v>2252</v>
      </c>
      <c r="K929" s="4">
        <f>Tablo1[[#This Row],[Quantity]]*Tablo1[[#This Row],[Unit_Price]]</f>
        <v>22323</v>
      </c>
      <c r="L929" s="4">
        <f>Tablo1[[#This Row],[Sales]]-(Tablo1[[#This Row],[Quantity]]*Tablo1[[#This Row],[Unit_Cost]])</f>
        <v>6559</v>
      </c>
    </row>
    <row r="930" spans="1:12" x14ac:dyDescent="0.3">
      <c r="A930" s="2">
        <v>1929</v>
      </c>
      <c r="B930" s="7">
        <v>45575</v>
      </c>
      <c r="C930" s="8" t="s">
        <v>75</v>
      </c>
      <c r="D930" s="2" t="s">
        <v>44</v>
      </c>
      <c r="E930" s="2" t="s">
        <v>30</v>
      </c>
      <c r="F930" s="2" t="s">
        <v>49</v>
      </c>
      <c r="G930" s="2" t="s">
        <v>12</v>
      </c>
      <c r="H930" s="2">
        <v>7</v>
      </c>
      <c r="I930" s="4">
        <v>10637</v>
      </c>
      <c r="J930" s="4">
        <v>6047</v>
      </c>
      <c r="K930" s="4">
        <f>Tablo1[[#This Row],[Quantity]]*Tablo1[[#This Row],[Unit_Price]]</f>
        <v>74459</v>
      </c>
      <c r="L930" s="4">
        <f>Tablo1[[#This Row],[Sales]]-(Tablo1[[#This Row],[Quantity]]*Tablo1[[#This Row],[Unit_Cost]])</f>
        <v>32130</v>
      </c>
    </row>
    <row r="931" spans="1:12" x14ac:dyDescent="0.3">
      <c r="A931" s="2">
        <v>1930</v>
      </c>
      <c r="B931" s="7">
        <v>45633</v>
      </c>
      <c r="C931" s="8" t="s">
        <v>73</v>
      </c>
      <c r="D931" s="2" t="s">
        <v>15</v>
      </c>
      <c r="E931" s="2" t="s">
        <v>38</v>
      </c>
      <c r="F931" s="2" t="s">
        <v>49</v>
      </c>
      <c r="G931" s="2" t="s">
        <v>12</v>
      </c>
      <c r="H931" s="2">
        <v>7</v>
      </c>
      <c r="I931" s="4">
        <v>18834</v>
      </c>
      <c r="J931" s="4">
        <v>11480</v>
      </c>
      <c r="K931" s="4">
        <f>Tablo1[[#This Row],[Quantity]]*Tablo1[[#This Row],[Unit_Price]]</f>
        <v>131838</v>
      </c>
      <c r="L931" s="4">
        <f>Tablo1[[#This Row],[Sales]]-(Tablo1[[#This Row],[Quantity]]*Tablo1[[#This Row],[Unit_Cost]])</f>
        <v>51478</v>
      </c>
    </row>
    <row r="932" spans="1:12" x14ac:dyDescent="0.3">
      <c r="A932" s="2">
        <v>1931</v>
      </c>
      <c r="B932" s="7">
        <v>45351</v>
      </c>
      <c r="C932" s="8" t="s">
        <v>76</v>
      </c>
      <c r="D932" s="2" t="s">
        <v>19</v>
      </c>
      <c r="E932" s="2" t="s">
        <v>30</v>
      </c>
      <c r="F932" s="2" t="s">
        <v>36</v>
      </c>
      <c r="G932" s="2" t="s">
        <v>34</v>
      </c>
      <c r="H932" s="2">
        <v>2</v>
      </c>
      <c r="I932" s="4">
        <v>1401</v>
      </c>
      <c r="J932" s="4">
        <v>774</v>
      </c>
      <c r="K932" s="4">
        <f>Tablo1[[#This Row],[Quantity]]*Tablo1[[#This Row],[Unit_Price]]</f>
        <v>2802</v>
      </c>
      <c r="L932" s="4">
        <f>Tablo1[[#This Row],[Sales]]-(Tablo1[[#This Row],[Quantity]]*Tablo1[[#This Row],[Unit_Cost]])</f>
        <v>1254</v>
      </c>
    </row>
    <row r="933" spans="1:12" x14ac:dyDescent="0.3">
      <c r="A933" s="2">
        <v>1932</v>
      </c>
      <c r="B933" s="7">
        <v>45449</v>
      </c>
      <c r="C933" s="8" t="s">
        <v>74</v>
      </c>
      <c r="D933" s="2" t="s">
        <v>44</v>
      </c>
      <c r="E933" s="2" t="s">
        <v>26</v>
      </c>
      <c r="F933" s="2" t="s">
        <v>14</v>
      </c>
      <c r="G933" s="2" t="s">
        <v>12</v>
      </c>
      <c r="H933" s="2">
        <v>6</v>
      </c>
      <c r="I933" s="4">
        <v>12169</v>
      </c>
      <c r="J933" s="4">
        <v>6461</v>
      </c>
      <c r="K933" s="4">
        <f>Tablo1[[#This Row],[Quantity]]*Tablo1[[#This Row],[Unit_Price]]</f>
        <v>73014</v>
      </c>
      <c r="L933" s="4">
        <f>Tablo1[[#This Row],[Sales]]-(Tablo1[[#This Row],[Quantity]]*Tablo1[[#This Row],[Unit_Cost]])</f>
        <v>34248</v>
      </c>
    </row>
    <row r="934" spans="1:12" x14ac:dyDescent="0.3">
      <c r="A934" s="2">
        <v>1933</v>
      </c>
      <c r="B934" s="7">
        <v>45528</v>
      </c>
      <c r="C934" s="8" t="s">
        <v>77</v>
      </c>
      <c r="D934" s="2" t="s">
        <v>10</v>
      </c>
      <c r="E934" s="2" t="s">
        <v>38</v>
      </c>
      <c r="F934" s="2" t="s">
        <v>14</v>
      </c>
      <c r="G934" s="2" t="s">
        <v>12</v>
      </c>
      <c r="H934" s="2">
        <v>10</v>
      </c>
      <c r="I934" s="4">
        <v>18366</v>
      </c>
      <c r="J934" s="4">
        <v>10910</v>
      </c>
      <c r="K934" s="4">
        <f>Tablo1[[#This Row],[Quantity]]*Tablo1[[#This Row],[Unit_Price]]</f>
        <v>183660</v>
      </c>
      <c r="L934" s="4">
        <f>Tablo1[[#This Row],[Sales]]-(Tablo1[[#This Row],[Quantity]]*Tablo1[[#This Row],[Unit_Cost]])</f>
        <v>74560</v>
      </c>
    </row>
    <row r="935" spans="1:12" x14ac:dyDescent="0.3">
      <c r="A935" s="2">
        <v>1934</v>
      </c>
      <c r="B935" s="7">
        <v>45383</v>
      </c>
      <c r="C935" s="8" t="s">
        <v>75</v>
      </c>
      <c r="D935" s="2" t="s">
        <v>43</v>
      </c>
      <c r="E935" s="2" t="s">
        <v>38</v>
      </c>
      <c r="F935" s="2" t="s">
        <v>33</v>
      </c>
      <c r="G935" s="2" t="s">
        <v>34</v>
      </c>
      <c r="H935" s="2">
        <v>4</v>
      </c>
      <c r="I935" s="4">
        <v>577</v>
      </c>
      <c r="J935" s="4">
        <v>313</v>
      </c>
      <c r="K935" s="4">
        <f>Tablo1[[#This Row],[Quantity]]*Tablo1[[#This Row],[Unit_Price]]</f>
        <v>2308</v>
      </c>
      <c r="L935" s="4">
        <f>Tablo1[[#This Row],[Sales]]-(Tablo1[[#This Row],[Quantity]]*Tablo1[[#This Row],[Unit_Cost]])</f>
        <v>1056</v>
      </c>
    </row>
    <row r="936" spans="1:12" x14ac:dyDescent="0.3">
      <c r="A936" s="2">
        <v>1935</v>
      </c>
      <c r="B936" s="7">
        <v>45439</v>
      </c>
      <c r="C936" s="8" t="s">
        <v>76</v>
      </c>
      <c r="D936" s="2" t="s">
        <v>32</v>
      </c>
      <c r="E936" s="2" t="s">
        <v>23</v>
      </c>
      <c r="F936" s="2" t="s">
        <v>29</v>
      </c>
      <c r="G936" s="2" t="s">
        <v>25</v>
      </c>
      <c r="H936" s="2">
        <v>8</v>
      </c>
      <c r="I936" s="4">
        <v>5457</v>
      </c>
      <c r="J936" s="4">
        <v>4190</v>
      </c>
      <c r="K936" s="4">
        <f>Tablo1[[#This Row],[Quantity]]*Tablo1[[#This Row],[Unit_Price]]</f>
        <v>43656</v>
      </c>
      <c r="L936" s="4">
        <f>Tablo1[[#This Row],[Sales]]-(Tablo1[[#This Row],[Quantity]]*Tablo1[[#This Row],[Unit_Cost]])</f>
        <v>10136</v>
      </c>
    </row>
    <row r="937" spans="1:12" x14ac:dyDescent="0.3">
      <c r="A937" s="2">
        <v>1936</v>
      </c>
      <c r="B937" s="7">
        <v>45402</v>
      </c>
      <c r="C937" s="8" t="s">
        <v>75</v>
      </c>
      <c r="D937" s="2" t="s">
        <v>44</v>
      </c>
      <c r="E937" s="2" t="s">
        <v>26</v>
      </c>
      <c r="F937" s="2" t="s">
        <v>33</v>
      </c>
      <c r="G937" s="2" t="s">
        <v>34</v>
      </c>
      <c r="H937" s="2">
        <v>1</v>
      </c>
      <c r="I937" s="4">
        <v>4572</v>
      </c>
      <c r="J937" s="4">
        <v>2428</v>
      </c>
      <c r="K937" s="4">
        <f>Tablo1[[#This Row],[Quantity]]*Tablo1[[#This Row],[Unit_Price]]</f>
        <v>4572</v>
      </c>
      <c r="L937" s="4">
        <f>Tablo1[[#This Row],[Sales]]-(Tablo1[[#This Row],[Quantity]]*Tablo1[[#This Row],[Unit_Cost]])</f>
        <v>2144</v>
      </c>
    </row>
    <row r="938" spans="1:12" x14ac:dyDescent="0.3">
      <c r="A938" s="2">
        <v>1937</v>
      </c>
      <c r="B938" s="7">
        <v>45632</v>
      </c>
      <c r="C938" s="8" t="s">
        <v>74</v>
      </c>
      <c r="D938" s="2" t="s">
        <v>10</v>
      </c>
      <c r="E938" s="2" t="s">
        <v>23</v>
      </c>
      <c r="F938" s="2" t="s">
        <v>16</v>
      </c>
      <c r="G938" s="2" t="s">
        <v>17</v>
      </c>
      <c r="H938" s="2">
        <v>1</v>
      </c>
      <c r="I938" s="4">
        <v>10354</v>
      </c>
      <c r="J938" s="4">
        <v>7406</v>
      </c>
      <c r="K938" s="4">
        <f>Tablo1[[#This Row],[Quantity]]*Tablo1[[#This Row],[Unit_Price]]</f>
        <v>10354</v>
      </c>
      <c r="L938" s="4">
        <f>Tablo1[[#This Row],[Sales]]-(Tablo1[[#This Row],[Quantity]]*Tablo1[[#This Row],[Unit_Cost]])</f>
        <v>2948</v>
      </c>
    </row>
    <row r="939" spans="1:12" x14ac:dyDescent="0.3">
      <c r="A939" s="2">
        <v>1938</v>
      </c>
      <c r="B939" s="7">
        <v>45373</v>
      </c>
      <c r="C939" s="8" t="s">
        <v>73</v>
      </c>
      <c r="D939" s="2" t="s">
        <v>44</v>
      </c>
      <c r="E939" s="2" t="s">
        <v>38</v>
      </c>
      <c r="F939" s="2" t="s">
        <v>42</v>
      </c>
      <c r="G939" s="2" t="s">
        <v>12</v>
      </c>
      <c r="H939" s="2">
        <v>1</v>
      </c>
      <c r="I939" s="4">
        <v>10487</v>
      </c>
      <c r="J939" s="4">
        <v>8090</v>
      </c>
      <c r="K939" s="4">
        <f>Tablo1[[#This Row],[Quantity]]*Tablo1[[#This Row],[Unit_Price]]</f>
        <v>10487</v>
      </c>
      <c r="L939" s="4">
        <f>Tablo1[[#This Row],[Sales]]-(Tablo1[[#This Row],[Quantity]]*Tablo1[[#This Row],[Unit_Cost]])</f>
        <v>2397</v>
      </c>
    </row>
    <row r="940" spans="1:12" x14ac:dyDescent="0.3">
      <c r="A940" s="2">
        <v>1939</v>
      </c>
      <c r="B940" s="7">
        <v>45630</v>
      </c>
      <c r="C940" s="8" t="s">
        <v>73</v>
      </c>
      <c r="D940" s="2" t="s">
        <v>13</v>
      </c>
      <c r="E940" s="2" t="s">
        <v>30</v>
      </c>
      <c r="F940" s="2" t="s">
        <v>29</v>
      </c>
      <c r="G940" s="2" t="s">
        <v>25</v>
      </c>
      <c r="H940" s="2">
        <v>9</v>
      </c>
      <c r="I940" s="4">
        <v>6757</v>
      </c>
      <c r="J940" s="4">
        <v>4740</v>
      </c>
      <c r="K940" s="4">
        <f>Tablo1[[#This Row],[Quantity]]*Tablo1[[#This Row],[Unit_Price]]</f>
        <v>60813</v>
      </c>
      <c r="L940" s="4">
        <f>Tablo1[[#This Row],[Sales]]-(Tablo1[[#This Row],[Quantity]]*Tablo1[[#This Row],[Unit_Cost]])</f>
        <v>18153</v>
      </c>
    </row>
    <row r="941" spans="1:12" x14ac:dyDescent="0.3">
      <c r="A941" s="2">
        <v>1940</v>
      </c>
      <c r="B941" s="7">
        <v>45363</v>
      </c>
      <c r="C941" s="8" t="s">
        <v>75</v>
      </c>
      <c r="D941" s="2" t="s">
        <v>13</v>
      </c>
      <c r="E941" s="2" t="s">
        <v>23</v>
      </c>
      <c r="F941" s="2" t="s">
        <v>47</v>
      </c>
      <c r="G941" s="2" t="s">
        <v>25</v>
      </c>
      <c r="H941" s="2">
        <v>2</v>
      </c>
      <c r="I941" s="4">
        <v>7498</v>
      </c>
      <c r="J941" s="4">
        <v>4196</v>
      </c>
      <c r="K941" s="4">
        <f>Tablo1[[#This Row],[Quantity]]*Tablo1[[#This Row],[Unit_Price]]</f>
        <v>14996</v>
      </c>
      <c r="L941" s="4">
        <f>Tablo1[[#This Row],[Sales]]-(Tablo1[[#This Row],[Quantity]]*Tablo1[[#This Row],[Unit_Cost]])</f>
        <v>6604</v>
      </c>
    </row>
    <row r="942" spans="1:12" x14ac:dyDescent="0.3">
      <c r="A942" s="2">
        <v>1941</v>
      </c>
      <c r="B942" s="7">
        <v>45402</v>
      </c>
      <c r="C942" s="8" t="s">
        <v>74</v>
      </c>
      <c r="D942" s="2" t="s">
        <v>15</v>
      </c>
      <c r="E942" s="2" t="s">
        <v>38</v>
      </c>
      <c r="F942" s="2" t="s">
        <v>39</v>
      </c>
      <c r="G942" s="2" t="s">
        <v>28</v>
      </c>
      <c r="H942" s="2">
        <v>6</v>
      </c>
      <c r="I942" s="4">
        <v>3874</v>
      </c>
      <c r="J942" s="4">
        <v>2147</v>
      </c>
      <c r="K942" s="4">
        <f>Tablo1[[#This Row],[Quantity]]*Tablo1[[#This Row],[Unit_Price]]</f>
        <v>23244</v>
      </c>
      <c r="L942" s="4">
        <f>Tablo1[[#This Row],[Sales]]-(Tablo1[[#This Row],[Quantity]]*Tablo1[[#This Row],[Unit_Cost]])</f>
        <v>10362</v>
      </c>
    </row>
    <row r="943" spans="1:12" x14ac:dyDescent="0.3">
      <c r="A943" s="2">
        <v>1942</v>
      </c>
      <c r="B943" s="7">
        <v>45554</v>
      </c>
      <c r="C943" s="8" t="s">
        <v>76</v>
      </c>
      <c r="D943" s="2" t="s">
        <v>22</v>
      </c>
      <c r="E943" s="2" t="s">
        <v>30</v>
      </c>
      <c r="F943" s="2" t="s">
        <v>33</v>
      </c>
      <c r="G943" s="2" t="s">
        <v>34</v>
      </c>
      <c r="H943" s="2">
        <v>2</v>
      </c>
      <c r="I943" s="4">
        <v>3136</v>
      </c>
      <c r="J943" s="4">
        <v>1632</v>
      </c>
      <c r="K943" s="4">
        <f>Tablo1[[#This Row],[Quantity]]*Tablo1[[#This Row],[Unit_Price]]</f>
        <v>6272</v>
      </c>
      <c r="L943" s="4">
        <f>Tablo1[[#This Row],[Sales]]-(Tablo1[[#This Row],[Quantity]]*Tablo1[[#This Row],[Unit_Cost]])</f>
        <v>3008</v>
      </c>
    </row>
    <row r="944" spans="1:12" x14ac:dyDescent="0.3">
      <c r="A944" s="2">
        <v>1943</v>
      </c>
      <c r="B944" s="7">
        <v>45535</v>
      </c>
      <c r="C944" s="8" t="s">
        <v>75</v>
      </c>
      <c r="D944" s="2" t="s">
        <v>10</v>
      </c>
      <c r="E944" s="2" t="s">
        <v>38</v>
      </c>
      <c r="F944" s="2" t="s">
        <v>49</v>
      </c>
      <c r="G944" s="2" t="s">
        <v>12</v>
      </c>
      <c r="H944" s="2">
        <v>9</v>
      </c>
      <c r="I944" s="4">
        <v>16337</v>
      </c>
      <c r="J944" s="4">
        <v>11822</v>
      </c>
      <c r="K944" s="4">
        <f>Tablo1[[#This Row],[Quantity]]*Tablo1[[#This Row],[Unit_Price]]</f>
        <v>147033</v>
      </c>
      <c r="L944" s="4">
        <f>Tablo1[[#This Row],[Sales]]-(Tablo1[[#This Row],[Quantity]]*Tablo1[[#This Row],[Unit_Cost]])</f>
        <v>40635</v>
      </c>
    </row>
    <row r="945" spans="1:12" x14ac:dyDescent="0.3">
      <c r="A945" s="2">
        <v>1944</v>
      </c>
      <c r="B945" s="7">
        <v>45547</v>
      </c>
      <c r="C945" s="8" t="s">
        <v>73</v>
      </c>
      <c r="D945" s="2" t="s">
        <v>10</v>
      </c>
      <c r="E945" s="2" t="s">
        <v>26</v>
      </c>
      <c r="F945" s="2" t="s">
        <v>33</v>
      </c>
      <c r="G945" s="2" t="s">
        <v>34</v>
      </c>
      <c r="H945" s="2">
        <v>9</v>
      </c>
      <c r="I945" s="4">
        <v>5113</v>
      </c>
      <c r="J945" s="4">
        <v>3081</v>
      </c>
      <c r="K945" s="4">
        <f>Tablo1[[#This Row],[Quantity]]*Tablo1[[#This Row],[Unit_Price]]</f>
        <v>46017</v>
      </c>
      <c r="L945" s="4">
        <f>Tablo1[[#This Row],[Sales]]-(Tablo1[[#This Row],[Quantity]]*Tablo1[[#This Row],[Unit_Cost]])</f>
        <v>18288</v>
      </c>
    </row>
    <row r="946" spans="1:12" x14ac:dyDescent="0.3">
      <c r="A946" s="2">
        <v>1945</v>
      </c>
      <c r="B946" s="7">
        <v>45292</v>
      </c>
      <c r="C946" s="8" t="s">
        <v>76</v>
      </c>
      <c r="D946" s="2" t="s">
        <v>43</v>
      </c>
      <c r="E946" s="2" t="s">
        <v>26</v>
      </c>
      <c r="F946" s="2" t="s">
        <v>27</v>
      </c>
      <c r="G946" s="2" t="s">
        <v>28</v>
      </c>
      <c r="H946" s="2">
        <v>8</v>
      </c>
      <c r="I946" s="4">
        <v>3185</v>
      </c>
      <c r="J946" s="4">
        <v>2082</v>
      </c>
      <c r="K946" s="4">
        <f>Tablo1[[#This Row],[Quantity]]*Tablo1[[#This Row],[Unit_Price]]</f>
        <v>25480</v>
      </c>
      <c r="L946" s="4">
        <f>Tablo1[[#This Row],[Sales]]-(Tablo1[[#This Row],[Quantity]]*Tablo1[[#This Row],[Unit_Cost]])</f>
        <v>8824</v>
      </c>
    </row>
    <row r="947" spans="1:12" x14ac:dyDescent="0.3">
      <c r="A947" s="2">
        <v>1946</v>
      </c>
      <c r="B947" s="7">
        <v>45615</v>
      </c>
      <c r="C947" s="8" t="s">
        <v>74</v>
      </c>
      <c r="D947" s="2" t="s">
        <v>35</v>
      </c>
      <c r="E947" s="2" t="s">
        <v>26</v>
      </c>
      <c r="F947" s="2" t="s">
        <v>27</v>
      </c>
      <c r="G947" s="2" t="s">
        <v>28</v>
      </c>
      <c r="H947" s="2">
        <v>2</v>
      </c>
      <c r="I947" s="4">
        <v>786</v>
      </c>
      <c r="J947" s="4">
        <v>561</v>
      </c>
      <c r="K947" s="4">
        <f>Tablo1[[#This Row],[Quantity]]*Tablo1[[#This Row],[Unit_Price]]</f>
        <v>1572</v>
      </c>
      <c r="L947" s="4">
        <f>Tablo1[[#This Row],[Sales]]-(Tablo1[[#This Row],[Quantity]]*Tablo1[[#This Row],[Unit_Cost]])</f>
        <v>450</v>
      </c>
    </row>
    <row r="948" spans="1:12" x14ac:dyDescent="0.3">
      <c r="A948" s="2">
        <v>1947</v>
      </c>
      <c r="B948" s="7">
        <v>45388</v>
      </c>
      <c r="C948" s="8" t="s">
        <v>77</v>
      </c>
      <c r="D948" s="2" t="s">
        <v>19</v>
      </c>
      <c r="E948" s="2" t="s">
        <v>30</v>
      </c>
      <c r="F948" s="2" t="s">
        <v>46</v>
      </c>
      <c r="G948" s="2" t="s">
        <v>17</v>
      </c>
      <c r="H948" s="2">
        <v>6</v>
      </c>
      <c r="I948" s="4">
        <v>2620</v>
      </c>
      <c r="J948" s="4">
        <v>2013</v>
      </c>
      <c r="K948" s="4">
        <f>Tablo1[[#This Row],[Quantity]]*Tablo1[[#This Row],[Unit_Price]]</f>
        <v>15720</v>
      </c>
      <c r="L948" s="4">
        <f>Tablo1[[#This Row],[Sales]]-(Tablo1[[#This Row],[Quantity]]*Tablo1[[#This Row],[Unit_Cost]])</f>
        <v>3642</v>
      </c>
    </row>
    <row r="949" spans="1:12" x14ac:dyDescent="0.3">
      <c r="A949" s="2">
        <v>1948</v>
      </c>
      <c r="B949" s="7">
        <v>45394</v>
      </c>
      <c r="C949" s="8" t="s">
        <v>75</v>
      </c>
      <c r="D949" s="2" t="s">
        <v>22</v>
      </c>
      <c r="E949" s="2" t="s">
        <v>30</v>
      </c>
      <c r="F949" s="2" t="s">
        <v>36</v>
      </c>
      <c r="G949" s="2" t="s">
        <v>34</v>
      </c>
      <c r="H949" s="2">
        <v>9</v>
      </c>
      <c r="I949" s="4">
        <v>6085</v>
      </c>
      <c r="J949" s="4">
        <v>4505</v>
      </c>
      <c r="K949" s="4">
        <f>Tablo1[[#This Row],[Quantity]]*Tablo1[[#This Row],[Unit_Price]]</f>
        <v>54765</v>
      </c>
      <c r="L949" s="4">
        <f>Tablo1[[#This Row],[Sales]]-(Tablo1[[#This Row],[Quantity]]*Tablo1[[#This Row],[Unit_Cost]])</f>
        <v>14220</v>
      </c>
    </row>
    <row r="950" spans="1:12" x14ac:dyDescent="0.3">
      <c r="A950" s="2">
        <v>1949</v>
      </c>
      <c r="B950" s="7">
        <v>45572</v>
      </c>
      <c r="C950" s="8" t="s">
        <v>76</v>
      </c>
      <c r="D950" s="2" t="s">
        <v>35</v>
      </c>
      <c r="E950" s="2" t="s">
        <v>38</v>
      </c>
      <c r="F950" s="2" t="s">
        <v>49</v>
      </c>
      <c r="G950" s="2" t="s">
        <v>12</v>
      </c>
      <c r="H950" s="2">
        <v>1</v>
      </c>
      <c r="I950" s="4">
        <v>11759</v>
      </c>
      <c r="J950" s="4">
        <v>7980</v>
      </c>
      <c r="K950" s="4">
        <f>Tablo1[[#This Row],[Quantity]]*Tablo1[[#This Row],[Unit_Price]]</f>
        <v>11759</v>
      </c>
      <c r="L950" s="4">
        <f>Tablo1[[#This Row],[Sales]]-(Tablo1[[#This Row],[Quantity]]*Tablo1[[#This Row],[Unit_Cost]])</f>
        <v>3779</v>
      </c>
    </row>
    <row r="951" spans="1:12" x14ac:dyDescent="0.3">
      <c r="A951" s="2">
        <v>1950</v>
      </c>
      <c r="B951" s="7">
        <v>45385</v>
      </c>
      <c r="C951" s="8" t="s">
        <v>75</v>
      </c>
      <c r="D951" s="2" t="s">
        <v>35</v>
      </c>
      <c r="E951" s="2" t="s">
        <v>23</v>
      </c>
      <c r="F951" s="2" t="s">
        <v>47</v>
      </c>
      <c r="G951" s="2" t="s">
        <v>25</v>
      </c>
      <c r="H951" s="2">
        <v>1</v>
      </c>
      <c r="I951" s="4">
        <v>2347</v>
      </c>
      <c r="J951" s="4">
        <v>1174</v>
      </c>
      <c r="K951" s="4">
        <f>Tablo1[[#This Row],[Quantity]]*Tablo1[[#This Row],[Unit_Price]]</f>
        <v>2347</v>
      </c>
      <c r="L951" s="4">
        <f>Tablo1[[#This Row],[Sales]]-(Tablo1[[#This Row],[Quantity]]*Tablo1[[#This Row],[Unit_Cost]])</f>
        <v>1173</v>
      </c>
    </row>
    <row r="952" spans="1:12" x14ac:dyDescent="0.3">
      <c r="A952" s="2">
        <v>1951</v>
      </c>
      <c r="B952" s="7">
        <v>45641</v>
      </c>
      <c r="C952" s="8" t="s">
        <v>74</v>
      </c>
      <c r="D952" s="2" t="s">
        <v>13</v>
      </c>
      <c r="E952" s="2" t="s">
        <v>20</v>
      </c>
      <c r="F952" s="2" t="s">
        <v>16</v>
      </c>
      <c r="G952" s="2" t="s">
        <v>17</v>
      </c>
      <c r="H952" s="2">
        <v>2</v>
      </c>
      <c r="I952" s="4">
        <v>2480</v>
      </c>
      <c r="J952" s="4">
        <v>1939</v>
      </c>
      <c r="K952" s="4">
        <f>Tablo1[[#This Row],[Quantity]]*Tablo1[[#This Row],[Unit_Price]]</f>
        <v>4960</v>
      </c>
      <c r="L952" s="4">
        <f>Tablo1[[#This Row],[Sales]]-(Tablo1[[#This Row],[Quantity]]*Tablo1[[#This Row],[Unit_Cost]])</f>
        <v>1082</v>
      </c>
    </row>
    <row r="953" spans="1:12" x14ac:dyDescent="0.3">
      <c r="A953" s="2">
        <v>1952</v>
      </c>
      <c r="B953" s="7">
        <v>45549</v>
      </c>
      <c r="C953" s="8" t="s">
        <v>73</v>
      </c>
      <c r="D953" s="2" t="s">
        <v>10</v>
      </c>
      <c r="E953" s="2" t="s">
        <v>30</v>
      </c>
      <c r="F953" s="2" t="s">
        <v>40</v>
      </c>
      <c r="G953" s="2" t="s">
        <v>25</v>
      </c>
      <c r="H953" s="2">
        <v>4</v>
      </c>
      <c r="I953" s="4">
        <v>6849</v>
      </c>
      <c r="J953" s="4">
        <v>4883</v>
      </c>
      <c r="K953" s="4">
        <f>Tablo1[[#This Row],[Quantity]]*Tablo1[[#This Row],[Unit_Price]]</f>
        <v>27396</v>
      </c>
      <c r="L953" s="4">
        <f>Tablo1[[#This Row],[Sales]]-(Tablo1[[#This Row],[Quantity]]*Tablo1[[#This Row],[Unit_Cost]])</f>
        <v>7864</v>
      </c>
    </row>
    <row r="954" spans="1:12" x14ac:dyDescent="0.3">
      <c r="A954" s="2">
        <v>1953</v>
      </c>
      <c r="B954" s="7">
        <v>45548</v>
      </c>
      <c r="C954" s="8" t="s">
        <v>73</v>
      </c>
      <c r="D954" s="2" t="s">
        <v>32</v>
      </c>
      <c r="E954" s="2" t="s">
        <v>38</v>
      </c>
      <c r="F954" s="2" t="s">
        <v>46</v>
      </c>
      <c r="G954" s="2" t="s">
        <v>17</v>
      </c>
      <c r="H954" s="2">
        <v>1</v>
      </c>
      <c r="I954" s="4">
        <v>2993</v>
      </c>
      <c r="J954" s="4">
        <v>1913</v>
      </c>
      <c r="K954" s="4">
        <f>Tablo1[[#This Row],[Quantity]]*Tablo1[[#This Row],[Unit_Price]]</f>
        <v>2993</v>
      </c>
      <c r="L954" s="4">
        <f>Tablo1[[#This Row],[Sales]]-(Tablo1[[#This Row],[Quantity]]*Tablo1[[#This Row],[Unit_Cost]])</f>
        <v>1080</v>
      </c>
    </row>
    <row r="955" spans="1:12" x14ac:dyDescent="0.3">
      <c r="A955" s="2">
        <v>1954</v>
      </c>
      <c r="B955" s="7">
        <v>45510</v>
      </c>
      <c r="C955" s="8" t="s">
        <v>75</v>
      </c>
      <c r="D955" s="2" t="s">
        <v>13</v>
      </c>
      <c r="E955" s="2" t="s">
        <v>23</v>
      </c>
      <c r="F955" s="2" t="s">
        <v>21</v>
      </c>
      <c r="G955" s="2" t="s">
        <v>17</v>
      </c>
      <c r="H955" s="2">
        <v>5</v>
      </c>
      <c r="I955" s="4">
        <v>3887</v>
      </c>
      <c r="J955" s="4">
        <v>2258</v>
      </c>
      <c r="K955" s="4">
        <f>Tablo1[[#This Row],[Quantity]]*Tablo1[[#This Row],[Unit_Price]]</f>
        <v>19435</v>
      </c>
      <c r="L955" s="4">
        <f>Tablo1[[#This Row],[Sales]]-(Tablo1[[#This Row],[Quantity]]*Tablo1[[#This Row],[Unit_Cost]])</f>
        <v>8145</v>
      </c>
    </row>
    <row r="956" spans="1:12" x14ac:dyDescent="0.3">
      <c r="A956" s="2">
        <v>1955</v>
      </c>
      <c r="B956" s="7">
        <v>45656</v>
      </c>
      <c r="C956" s="8" t="s">
        <v>74</v>
      </c>
      <c r="D956" s="2" t="s">
        <v>43</v>
      </c>
      <c r="E956" s="2" t="s">
        <v>38</v>
      </c>
      <c r="F956" s="2" t="s">
        <v>14</v>
      </c>
      <c r="G956" s="2" t="s">
        <v>12</v>
      </c>
      <c r="H956" s="2">
        <v>3</v>
      </c>
      <c r="I956" s="4">
        <v>16563</v>
      </c>
      <c r="J956" s="4">
        <v>11323</v>
      </c>
      <c r="K956" s="4">
        <f>Tablo1[[#This Row],[Quantity]]*Tablo1[[#This Row],[Unit_Price]]</f>
        <v>49689</v>
      </c>
      <c r="L956" s="4">
        <f>Tablo1[[#This Row],[Sales]]-(Tablo1[[#This Row],[Quantity]]*Tablo1[[#This Row],[Unit_Cost]])</f>
        <v>15720</v>
      </c>
    </row>
    <row r="957" spans="1:12" x14ac:dyDescent="0.3">
      <c r="A957" s="2">
        <v>1956</v>
      </c>
      <c r="B957" s="7">
        <v>45447</v>
      </c>
      <c r="C957" s="8" t="s">
        <v>76</v>
      </c>
      <c r="D957" s="2" t="s">
        <v>15</v>
      </c>
      <c r="E957" s="2" t="s">
        <v>38</v>
      </c>
      <c r="F957" s="2" t="s">
        <v>46</v>
      </c>
      <c r="G957" s="2" t="s">
        <v>17</v>
      </c>
      <c r="H957" s="2">
        <v>2</v>
      </c>
      <c r="I957" s="4">
        <v>5477</v>
      </c>
      <c r="J957" s="4">
        <v>4314</v>
      </c>
      <c r="K957" s="4">
        <f>Tablo1[[#This Row],[Quantity]]*Tablo1[[#This Row],[Unit_Price]]</f>
        <v>10954</v>
      </c>
      <c r="L957" s="4">
        <f>Tablo1[[#This Row],[Sales]]-(Tablo1[[#This Row],[Quantity]]*Tablo1[[#This Row],[Unit_Cost]])</f>
        <v>2326</v>
      </c>
    </row>
    <row r="958" spans="1:12" x14ac:dyDescent="0.3">
      <c r="A958" s="2">
        <v>1957</v>
      </c>
      <c r="B958" s="7">
        <v>45569</v>
      </c>
      <c r="C958" s="8" t="s">
        <v>75</v>
      </c>
      <c r="D958" s="2" t="s">
        <v>41</v>
      </c>
      <c r="E958" s="2" t="s">
        <v>30</v>
      </c>
      <c r="F958" s="2" t="s">
        <v>50</v>
      </c>
      <c r="G958" s="2" t="s">
        <v>28</v>
      </c>
      <c r="H958" s="2">
        <v>1</v>
      </c>
      <c r="I958" s="4">
        <v>943</v>
      </c>
      <c r="J958" s="4">
        <v>578</v>
      </c>
      <c r="K958" s="4">
        <f>Tablo1[[#This Row],[Quantity]]*Tablo1[[#This Row],[Unit_Price]]</f>
        <v>943</v>
      </c>
      <c r="L958" s="4">
        <f>Tablo1[[#This Row],[Sales]]-(Tablo1[[#This Row],[Quantity]]*Tablo1[[#This Row],[Unit_Cost]])</f>
        <v>365</v>
      </c>
    </row>
    <row r="959" spans="1:12" x14ac:dyDescent="0.3">
      <c r="A959" s="2">
        <v>1958</v>
      </c>
      <c r="B959" s="7">
        <v>45569</v>
      </c>
      <c r="C959" s="8" t="s">
        <v>73</v>
      </c>
      <c r="D959" s="2" t="s">
        <v>19</v>
      </c>
      <c r="E959" s="2" t="s">
        <v>30</v>
      </c>
      <c r="F959" s="2" t="s">
        <v>40</v>
      </c>
      <c r="G959" s="2" t="s">
        <v>25</v>
      </c>
      <c r="H959" s="2">
        <v>4</v>
      </c>
      <c r="I959" s="4">
        <v>1188</v>
      </c>
      <c r="J959" s="4">
        <v>784</v>
      </c>
      <c r="K959" s="4">
        <f>Tablo1[[#This Row],[Quantity]]*Tablo1[[#This Row],[Unit_Price]]</f>
        <v>4752</v>
      </c>
      <c r="L959" s="4">
        <f>Tablo1[[#This Row],[Sales]]-(Tablo1[[#This Row],[Quantity]]*Tablo1[[#This Row],[Unit_Cost]])</f>
        <v>1616</v>
      </c>
    </row>
    <row r="960" spans="1:12" x14ac:dyDescent="0.3">
      <c r="A960" s="2">
        <v>1959</v>
      </c>
      <c r="B960" s="7">
        <v>45497</v>
      </c>
      <c r="C960" s="8" t="s">
        <v>76</v>
      </c>
      <c r="D960" s="2" t="s">
        <v>19</v>
      </c>
      <c r="E960" s="2" t="s">
        <v>23</v>
      </c>
      <c r="F960" s="2" t="s">
        <v>40</v>
      </c>
      <c r="G960" s="2" t="s">
        <v>25</v>
      </c>
      <c r="H960" s="2">
        <v>10</v>
      </c>
      <c r="I960" s="4">
        <v>2489</v>
      </c>
      <c r="J960" s="4">
        <v>1379</v>
      </c>
      <c r="K960" s="4">
        <f>Tablo1[[#This Row],[Quantity]]*Tablo1[[#This Row],[Unit_Price]]</f>
        <v>24890</v>
      </c>
      <c r="L960" s="4">
        <f>Tablo1[[#This Row],[Sales]]-(Tablo1[[#This Row],[Quantity]]*Tablo1[[#This Row],[Unit_Cost]])</f>
        <v>11100</v>
      </c>
    </row>
    <row r="961" spans="1:12" x14ac:dyDescent="0.3">
      <c r="A961" s="2">
        <v>1960</v>
      </c>
      <c r="B961" s="7">
        <v>45534</v>
      </c>
      <c r="C961" s="8" t="s">
        <v>74</v>
      </c>
      <c r="D961" s="2" t="s">
        <v>35</v>
      </c>
      <c r="E961" s="2" t="s">
        <v>38</v>
      </c>
      <c r="F961" s="2" t="s">
        <v>49</v>
      </c>
      <c r="G961" s="2" t="s">
        <v>12</v>
      </c>
      <c r="H961" s="2">
        <v>7</v>
      </c>
      <c r="I961" s="4">
        <v>18973</v>
      </c>
      <c r="J961" s="4">
        <v>10955</v>
      </c>
      <c r="K961" s="4">
        <f>Tablo1[[#This Row],[Quantity]]*Tablo1[[#This Row],[Unit_Price]]</f>
        <v>132811</v>
      </c>
      <c r="L961" s="4">
        <f>Tablo1[[#This Row],[Sales]]-(Tablo1[[#This Row],[Quantity]]*Tablo1[[#This Row],[Unit_Cost]])</f>
        <v>56126</v>
      </c>
    </row>
    <row r="962" spans="1:12" x14ac:dyDescent="0.3">
      <c r="A962" s="2">
        <v>1961</v>
      </c>
      <c r="B962" s="7">
        <v>45328</v>
      </c>
      <c r="C962" s="8" t="s">
        <v>77</v>
      </c>
      <c r="D962" s="2" t="s">
        <v>22</v>
      </c>
      <c r="E962" s="2" t="s">
        <v>26</v>
      </c>
      <c r="F962" s="2" t="s">
        <v>40</v>
      </c>
      <c r="G962" s="2" t="s">
        <v>25</v>
      </c>
      <c r="H962" s="2">
        <v>10</v>
      </c>
      <c r="I962" s="4">
        <v>3147</v>
      </c>
      <c r="J962" s="4">
        <v>2508</v>
      </c>
      <c r="K962" s="4">
        <f>Tablo1[[#This Row],[Quantity]]*Tablo1[[#This Row],[Unit_Price]]</f>
        <v>31470</v>
      </c>
      <c r="L962" s="4">
        <f>Tablo1[[#This Row],[Sales]]-(Tablo1[[#This Row],[Quantity]]*Tablo1[[#This Row],[Unit_Cost]])</f>
        <v>6390</v>
      </c>
    </row>
    <row r="963" spans="1:12" x14ac:dyDescent="0.3">
      <c r="A963" s="2">
        <v>1962</v>
      </c>
      <c r="B963" s="7">
        <v>45529</v>
      </c>
      <c r="C963" s="8" t="s">
        <v>75</v>
      </c>
      <c r="D963" s="2" t="s">
        <v>15</v>
      </c>
      <c r="E963" s="2" t="s">
        <v>38</v>
      </c>
      <c r="F963" s="2" t="s">
        <v>45</v>
      </c>
      <c r="G963" s="2" t="s">
        <v>34</v>
      </c>
      <c r="H963" s="2">
        <v>8</v>
      </c>
      <c r="I963" s="4">
        <v>4329</v>
      </c>
      <c r="J963" s="4">
        <v>2687</v>
      </c>
      <c r="K963" s="4">
        <f>Tablo1[[#This Row],[Quantity]]*Tablo1[[#This Row],[Unit_Price]]</f>
        <v>34632</v>
      </c>
      <c r="L963" s="4">
        <f>Tablo1[[#This Row],[Sales]]-(Tablo1[[#This Row],[Quantity]]*Tablo1[[#This Row],[Unit_Cost]])</f>
        <v>13136</v>
      </c>
    </row>
    <row r="964" spans="1:12" x14ac:dyDescent="0.3">
      <c r="A964" s="2">
        <v>1963</v>
      </c>
      <c r="B964" s="7">
        <v>45425</v>
      </c>
      <c r="C964" s="8" t="s">
        <v>76</v>
      </c>
      <c r="D964" s="2" t="s">
        <v>19</v>
      </c>
      <c r="E964" s="2" t="s">
        <v>26</v>
      </c>
      <c r="F964" s="2" t="s">
        <v>42</v>
      </c>
      <c r="G964" s="2" t="s">
        <v>12</v>
      </c>
      <c r="H964" s="2">
        <v>2</v>
      </c>
      <c r="I964" s="4">
        <v>16083</v>
      </c>
      <c r="J964" s="4">
        <v>12282</v>
      </c>
      <c r="K964" s="4">
        <f>Tablo1[[#This Row],[Quantity]]*Tablo1[[#This Row],[Unit_Price]]</f>
        <v>32166</v>
      </c>
      <c r="L964" s="4">
        <f>Tablo1[[#This Row],[Sales]]-(Tablo1[[#This Row],[Quantity]]*Tablo1[[#This Row],[Unit_Cost]])</f>
        <v>7602</v>
      </c>
    </row>
    <row r="965" spans="1:12" x14ac:dyDescent="0.3">
      <c r="A965" s="2">
        <v>1964</v>
      </c>
      <c r="B965" s="7">
        <v>45477</v>
      </c>
      <c r="C965" s="8" t="s">
        <v>75</v>
      </c>
      <c r="D965" s="2" t="s">
        <v>19</v>
      </c>
      <c r="E965" s="2" t="s">
        <v>20</v>
      </c>
      <c r="F965" s="2" t="s">
        <v>29</v>
      </c>
      <c r="G965" s="2" t="s">
        <v>25</v>
      </c>
      <c r="H965" s="2">
        <v>6</v>
      </c>
      <c r="I965" s="4">
        <v>5954</v>
      </c>
      <c r="J965" s="4">
        <v>4110</v>
      </c>
      <c r="K965" s="4">
        <f>Tablo1[[#This Row],[Quantity]]*Tablo1[[#This Row],[Unit_Price]]</f>
        <v>35724</v>
      </c>
      <c r="L965" s="4">
        <f>Tablo1[[#This Row],[Sales]]-(Tablo1[[#This Row],[Quantity]]*Tablo1[[#This Row],[Unit_Cost]])</f>
        <v>11064</v>
      </c>
    </row>
    <row r="966" spans="1:12" x14ac:dyDescent="0.3">
      <c r="A966" s="2">
        <v>1965</v>
      </c>
      <c r="B966" s="7">
        <v>45644</v>
      </c>
      <c r="C966" s="8" t="s">
        <v>74</v>
      </c>
      <c r="D966" s="2" t="s">
        <v>32</v>
      </c>
      <c r="E966" s="2" t="s">
        <v>26</v>
      </c>
      <c r="F966" s="2" t="s">
        <v>24</v>
      </c>
      <c r="G966" s="2" t="s">
        <v>25</v>
      </c>
      <c r="H966" s="2">
        <v>9</v>
      </c>
      <c r="I966" s="4">
        <v>2344</v>
      </c>
      <c r="J966" s="4">
        <v>1553</v>
      </c>
      <c r="K966" s="4">
        <f>Tablo1[[#This Row],[Quantity]]*Tablo1[[#This Row],[Unit_Price]]</f>
        <v>21096</v>
      </c>
      <c r="L966" s="4">
        <f>Tablo1[[#This Row],[Sales]]-(Tablo1[[#This Row],[Quantity]]*Tablo1[[#This Row],[Unit_Cost]])</f>
        <v>7119</v>
      </c>
    </row>
    <row r="967" spans="1:12" x14ac:dyDescent="0.3">
      <c r="A967" s="2">
        <v>1966</v>
      </c>
      <c r="B967" s="7">
        <v>45457</v>
      </c>
      <c r="C967" s="8" t="s">
        <v>73</v>
      </c>
      <c r="D967" s="2" t="s">
        <v>41</v>
      </c>
      <c r="E967" s="2" t="s">
        <v>23</v>
      </c>
      <c r="F967" s="2" t="s">
        <v>14</v>
      </c>
      <c r="G967" s="2" t="s">
        <v>12</v>
      </c>
      <c r="H967" s="2">
        <v>3</v>
      </c>
      <c r="I967" s="4">
        <v>20634</v>
      </c>
      <c r="J967" s="4">
        <v>11891</v>
      </c>
      <c r="K967" s="4">
        <f>Tablo1[[#This Row],[Quantity]]*Tablo1[[#This Row],[Unit_Price]]</f>
        <v>61902</v>
      </c>
      <c r="L967" s="4">
        <f>Tablo1[[#This Row],[Sales]]-(Tablo1[[#This Row],[Quantity]]*Tablo1[[#This Row],[Unit_Cost]])</f>
        <v>26229</v>
      </c>
    </row>
    <row r="968" spans="1:12" x14ac:dyDescent="0.3">
      <c r="A968" s="2">
        <v>1967</v>
      </c>
      <c r="B968" s="7">
        <v>45527</v>
      </c>
      <c r="C968" s="8" t="s">
        <v>73</v>
      </c>
      <c r="D968" s="2" t="s">
        <v>10</v>
      </c>
      <c r="E968" s="2" t="s">
        <v>20</v>
      </c>
      <c r="F968" s="2" t="s">
        <v>46</v>
      </c>
      <c r="G968" s="2" t="s">
        <v>17</v>
      </c>
      <c r="H968" s="2">
        <v>5</v>
      </c>
      <c r="I968" s="4">
        <v>1920</v>
      </c>
      <c r="J968" s="4">
        <v>1517</v>
      </c>
      <c r="K968" s="4">
        <f>Tablo1[[#This Row],[Quantity]]*Tablo1[[#This Row],[Unit_Price]]</f>
        <v>9600</v>
      </c>
      <c r="L968" s="4">
        <f>Tablo1[[#This Row],[Sales]]-(Tablo1[[#This Row],[Quantity]]*Tablo1[[#This Row],[Unit_Cost]])</f>
        <v>2015</v>
      </c>
    </row>
    <row r="969" spans="1:12" x14ac:dyDescent="0.3">
      <c r="A969" s="2">
        <v>1968</v>
      </c>
      <c r="B969" s="7">
        <v>45563</v>
      </c>
      <c r="C969" s="8" t="s">
        <v>75</v>
      </c>
      <c r="D969" s="2" t="s">
        <v>15</v>
      </c>
      <c r="E969" s="2" t="s">
        <v>38</v>
      </c>
      <c r="F969" s="2" t="s">
        <v>47</v>
      </c>
      <c r="G969" s="2" t="s">
        <v>25</v>
      </c>
      <c r="H969" s="2">
        <v>10</v>
      </c>
      <c r="I969" s="4">
        <v>1726</v>
      </c>
      <c r="J969" s="4">
        <v>1131</v>
      </c>
      <c r="K969" s="4">
        <f>Tablo1[[#This Row],[Quantity]]*Tablo1[[#This Row],[Unit_Price]]</f>
        <v>17260</v>
      </c>
      <c r="L969" s="4">
        <f>Tablo1[[#This Row],[Sales]]-(Tablo1[[#This Row],[Quantity]]*Tablo1[[#This Row],[Unit_Cost]])</f>
        <v>5950</v>
      </c>
    </row>
    <row r="970" spans="1:12" x14ac:dyDescent="0.3">
      <c r="A970" s="2">
        <v>1969</v>
      </c>
      <c r="B970" s="7">
        <v>45394</v>
      </c>
      <c r="C970" s="8" t="s">
        <v>74</v>
      </c>
      <c r="D970" s="2" t="s">
        <v>44</v>
      </c>
      <c r="E970" s="2" t="s">
        <v>20</v>
      </c>
      <c r="F970" s="2" t="s">
        <v>42</v>
      </c>
      <c r="G970" s="2" t="s">
        <v>12</v>
      </c>
      <c r="H970" s="2">
        <v>10</v>
      </c>
      <c r="I970" s="4">
        <v>19374</v>
      </c>
      <c r="J970" s="4">
        <v>14891</v>
      </c>
      <c r="K970" s="4">
        <f>Tablo1[[#This Row],[Quantity]]*Tablo1[[#This Row],[Unit_Price]]</f>
        <v>193740</v>
      </c>
      <c r="L970" s="4">
        <f>Tablo1[[#This Row],[Sales]]-(Tablo1[[#This Row],[Quantity]]*Tablo1[[#This Row],[Unit_Cost]])</f>
        <v>44830</v>
      </c>
    </row>
    <row r="971" spans="1:12" x14ac:dyDescent="0.3">
      <c r="A971" s="2">
        <v>1970</v>
      </c>
      <c r="B971" s="7">
        <v>45625</v>
      </c>
      <c r="C971" s="8" t="s">
        <v>76</v>
      </c>
      <c r="D971" s="2" t="s">
        <v>35</v>
      </c>
      <c r="E971" s="2" t="s">
        <v>38</v>
      </c>
      <c r="F971" s="2" t="s">
        <v>31</v>
      </c>
      <c r="G971" s="2" t="s">
        <v>17</v>
      </c>
      <c r="H971" s="2">
        <v>5</v>
      </c>
      <c r="I971" s="4">
        <v>3131</v>
      </c>
      <c r="J971" s="4">
        <v>2248</v>
      </c>
      <c r="K971" s="4">
        <f>Tablo1[[#This Row],[Quantity]]*Tablo1[[#This Row],[Unit_Price]]</f>
        <v>15655</v>
      </c>
      <c r="L971" s="4">
        <f>Tablo1[[#This Row],[Sales]]-(Tablo1[[#This Row],[Quantity]]*Tablo1[[#This Row],[Unit_Cost]])</f>
        <v>4415</v>
      </c>
    </row>
    <row r="972" spans="1:12" x14ac:dyDescent="0.3">
      <c r="A972" s="2">
        <v>1971</v>
      </c>
      <c r="B972" s="7">
        <v>45485</v>
      </c>
      <c r="C972" s="8" t="s">
        <v>75</v>
      </c>
      <c r="D972" s="2" t="s">
        <v>41</v>
      </c>
      <c r="E972" s="2" t="s">
        <v>38</v>
      </c>
      <c r="F972" s="2" t="s">
        <v>36</v>
      </c>
      <c r="G972" s="2" t="s">
        <v>34</v>
      </c>
      <c r="H972" s="2">
        <v>3</v>
      </c>
      <c r="I972" s="4">
        <v>4431</v>
      </c>
      <c r="J972" s="4">
        <v>2519</v>
      </c>
      <c r="K972" s="4">
        <f>Tablo1[[#This Row],[Quantity]]*Tablo1[[#This Row],[Unit_Price]]</f>
        <v>13293</v>
      </c>
      <c r="L972" s="4">
        <f>Tablo1[[#This Row],[Sales]]-(Tablo1[[#This Row],[Quantity]]*Tablo1[[#This Row],[Unit_Cost]])</f>
        <v>5736</v>
      </c>
    </row>
    <row r="973" spans="1:12" x14ac:dyDescent="0.3">
      <c r="A973" s="2">
        <v>1972</v>
      </c>
      <c r="B973" s="7">
        <v>45560</v>
      </c>
      <c r="C973" s="8" t="s">
        <v>73</v>
      </c>
      <c r="D973" s="2" t="s">
        <v>43</v>
      </c>
      <c r="E973" s="2" t="s">
        <v>20</v>
      </c>
      <c r="F973" s="2" t="s">
        <v>33</v>
      </c>
      <c r="G973" s="2" t="s">
        <v>34</v>
      </c>
      <c r="H973" s="2">
        <v>9</v>
      </c>
      <c r="I973" s="4">
        <v>3822</v>
      </c>
      <c r="J973" s="4">
        <v>2638</v>
      </c>
      <c r="K973" s="4">
        <f>Tablo1[[#This Row],[Quantity]]*Tablo1[[#This Row],[Unit_Price]]</f>
        <v>34398</v>
      </c>
      <c r="L973" s="4">
        <f>Tablo1[[#This Row],[Sales]]-(Tablo1[[#This Row],[Quantity]]*Tablo1[[#This Row],[Unit_Cost]])</f>
        <v>10656</v>
      </c>
    </row>
    <row r="974" spans="1:12" x14ac:dyDescent="0.3">
      <c r="A974" s="2">
        <v>1973</v>
      </c>
      <c r="B974" s="7">
        <v>45515</v>
      </c>
      <c r="C974" s="8" t="s">
        <v>76</v>
      </c>
      <c r="D974" s="2" t="s">
        <v>13</v>
      </c>
      <c r="E974" s="2" t="s">
        <v>26</v>
      </c>
      <c r="F974" s="2" t="s">
        <v>50</v>
      </c>
      <c r="G974" s="2" t="s">
        <v>28</v>
      </c>
      <c r="H974" s="2">
        <v>5</v>
      </c>
      <c r="I974" s="4">
        <v>699</v>
      </c>
      <c r="J974" s="4">
        <v>440</v>
      </c>
      <c r="K974" s="4">
        <f>Tablo1[[#This Row],[Quantity]]*Tablo1[[#This Row],[Unit_Price]]</f>
        <v>3495</v>
      </c>
      <c r="L974" s="4">
        <f>Tablo1[[#This Row],[Sales]]-(Tablo1[[#This Row],[Quantity]]*Tablo1[[#This Row],[Unit_Cost]])</f>
        <v>1295</v>
      </c>
    </row>
    <row r="975" spans="1:12" x14ac:dyDescent="0.3">
      <c r="A975" s="2">
        <v>1974</v>
      </c>
      <c r="B975" s="7">
        <v>45520</v>
      </c>
      <c r="C975" s="8" t="s">
        <v>74</v>
      </c>
      <c r="D975" s="2" t="s">
        <v>32</v>
      </c>
      <c r="E975" s="2" t="s">
        <v>26</v>
      </c>
      <c r="F975" s="2" t="s">
        <v>21</v>
      </c>
      <c r="G975" s="2" t="s">
        <v>17</v>
      </c>
      <c r="H975" s="2">
        <v>4</v>
      </c>
      <c r="I975" s="4">
        <v>4031</v>
      </c>
      <c r="J975" s="4">
        <v>3066</v>
      </c>
      <c r="K975" s="4">
        <f>Tablo1[[#This Row],[Quantity]]*Tablo1[[#This Row],[Unit_Price]]</f>
        <v>16124</v>
      </c>
      <c r="L975" s="4">
        <f>Tablo1[[#This Row],[Sales]]-(Tablo1[[#This Row],[Quantity]]*Tablo1[[#This Row],[Unit_Cost]])</f>
        <v>3860</v>
      </c>
    </row>
    <row r="976" spans="1:12" x14ac:dyDescent="0.3">
      <c r="A976" s="2">
        <v>1975</v>
      </c>
      <c r="B976" s="7">
        <v>45617</v>
      </c>
      <c r="C976" s="8" t="s">
        <v>77</v>
      </c>
      <c r="D976" s="2" t="s">
        <v>41</v>
      </c>
      <c r="E976" s="2" t="s">
        <v>30</v>
      </c>
      <c r="F976" s="2" t="s">
        <v>16</v>
      </c>
      <c r="G976" s="2" t="s">
        <v>17</v>
      </c>
      <c r="H976" s="2">
        <v>8</v>
      </c>
      <c r="I976" s="4">
        <v>2361</v>
      </c>
      <c r="J976" s="4">
        <v>1669</v>
      </c>
      <c r="K976" s="4">
        <f>Tablo1[[#This Row],[Quantity]]*Tablo1[[#This Row],[Unit_Price]]</f>
        <v>18888</v>
      </c>
      <c r="L976" s="4">
        <f>Tablo1[[#This Row],[Sales]]-(Tablo1[[#This Row],[Quantity]]*Tablo1[[#This Row],[Unit_Cost]])</f>
        <v>5536</v>
      </c>
    </row>
    <row r="977" spans="1:12" x14ac:dyDescent="0.3">
      <c r="A977" s="2">
        <v>1976</v>
      </c>
      <c r="B977" s="7">
        <v>45293</v>
      </c>
      <c r="C977" s="8" t="s">
        <v>75</v>
      </c>
      <c r="D977" s="2" t="s">
        <v>22</v>
      </c>
      <c r="E977" s="2" t="s">
        <v>30</v>
      </c>
      <c r="F977" s="2" t="s">
        <v>49</v>
      </c>
      <c r="G977" s="2" t="s">
        <v>12</v>
      </c>
      <c r="H977" s="2">
        <v>4</v>
      </c>
      <c r="I977" s="4">
        <v>10600</v>
      </c>
      <c r="J977" s="4">
        <v>6755</v>
      </c>
      <c r="K977" s="4">
        <f>Tablo1[[#This Row],[Quantity]]*Tablo1[[#This Row],[Unit_Price]]</f>
        <v>42400</v>
      </c>
      <c r="L977" s="4">
        <f>Tablo1[[#This Row],[Sales]]-(Tablo1[[#This Row],[Quantity]]*Tablo1[[#This Row],[Unit_Cost]])</f>
        <v>15380</v>
      </c>
    </row>
    <row r="978" spans="1:12" x14ac:dyDescent="0.3">
      <c r="A978" s="2">
        <v>1977</v>
      </c>
      <c r="B978" s="7">
        <v>45394</v>
      </c>
      <c r="C978" s="8" t="s">
        <v>76</v>
      </c>
      <c r="D978" s="2" t="s">
        <v>22</v>
      </c>
      <c r="E978" s="2" t="s">
        <v>20</v>
      </c>
      <c r="F978" s="2" t="s">
        <v>40</v>
      </c>
      <c r="G978" s="2" t="s">
        <v>25</v>
      </c>
      <c r="H978" s="2">
        <v>6</v>
      </c>
      <c r="I978" s="4">
        <v>7750</v>
      </c>
      <c r="J978" s="4">
        <v>4347</v>
      </c>
      <c r="K978" s="4">
        <f>Tablo1[[#This Row],[Quantity]]*Tablo1[[#This Row],[Unit_Price]]</f>
        <v>46500</v>
      </c>
      <c r="L978" s="4">
        <f>Tablo1[[#This Row],[Sales]]-(Tablo1[[#This Row],[Quantity]]*Tablo1[[#This Row],[Unit_Cost]])</f>
        <v>20418</v>
      </c>
    </row>
    <row r="979" spans="1:12" x14ac:dyDescent="0.3">
      <c r="A979" s="2">
        <v>1978</v>
      </c>
      <c r="B979" s="7">
        <v>45296</v>
      </c>
      <c r="C979" s="8" t="s">
        <v>75</v>
      </c>
      <c r="D979" s="2" t="s">
        <v>32</v>
      </c>
      <c r="E979" s="2" t="s">
        <v>38</v>
      </c>
      <c r="F979" s="2" t="s">
        <v>21</v>
      </c>
      <c r="G979" s="2" t="s">
        <v>17</v>
      </c>
      <c r="H979" s="2">
        <v>8</v>
      </c>
      <c r="I979" s="4">
        <v>6853</v>
      </c>
      <c r="J979" s="4">
        <v>5171</v>
      </c>
      <c r="K979" s="4">
        <f>Tablo1[[#This Row],[Quantity]]*Tablo1[[#This Row],[Unit_Price]]</f>
        <v>54824</v>
      </c>
      <c r="L979" s="4">
        <f>Tablo1[[#This Row],[Sales]]-(Tablo1[[#This Row],[Quantity]]*Tablo1[[#This Row],[Unit_Cost]])</f>
        <v>13456</v>
      </c>
    </row>
    <row r="980" spans="1:12" x14ac:dyDescent="0.3">
      <c r="A980" s="2">
        <v>1979</v>
      </c>
      <c r="B980" s="7">
        <v>45386</v>
      </c>
      <c r="C980" s="8" t="s">
        <v>74</v>
      </c>
      <c r="D980" s="2" t="s">
        <v>32</v>
      </c>
      <c r="E980" s="2" t="s">
        <v>30</v>
      </c>
      <c r="F980" s="2" t="s">
        <v>29</v>
      </c>
      <c r="G980" s="2" t="s">
        <v>25</v>
      </c>
      <c r="H980" s="2">
        <v>5</v>
      </c>
      <c r="I980" s="4">
        <v>3203</v>
      </c>
      <c r="J980" s="4">
        <v>1862</v>
      </c>
      <c r="K980" s="4">
        <f>Tablo1[[#This Row],[Quantity]]*Tablo1[[#This Row],[Unit_Price]]</f>
        <v>16015</v>
      </c>
      <c r="L980" s="4">
        <f>Tablo1[[#This Row],[Sales]]-(Tablo1[[#This Row],[Quantity]]*Tablo1[[#This Row],[Unit_Cost]])</f>
        <v>6705</v>
      </c>
    </row>
    <row r="981" spans="1:12" x14ac:dyDescent="0.3">
      <c r="A981" s="2">
        <v>1980</v>
      </c>
      <c r="B981" s="7">
        <v>45393</v>
      </c>
      <c r="C981" s="8" t="s">
        <v>73</v>
      </c>
      <c r="D981" s="2" t="s">
        <v>35</v>
      </c>
      <c r="E981" s="2" t="s">
        <v>26</v>
      </c>
      <c r="F981" s="2" t="s">
        <v>36</v>
      </c>
      <c r="G981" s="2" t="s">
        <v>34</v>
      </c>
      <c r="H981" s="2">
        <v>4</v>
      </c>
      <c r="I981" s="4">
        <v>5694</v>
      </c>
      <c r="J981" s="4">
        <v>2887</v>
      </c>
      <c r="K981" s="4">
        <f>Tablo1[[#This Row],[Quantity]]*Tablo1[[#This Row],[Unit_Price]]</f>
        <v>22776</v>
      </c>
      <c r="L981" s="4">
        <f>Tablo1[[#This Row],[Sales]]-(Tablo1[[#This Row],[Quantity]]*Tablo1[[#This Row],[Unit_Cost]])</f>
        <v>11228</v>
      </c>
    </row>
    <row r="982" spans="1:12" x14ac:dyDescent="0.3">
      <c r="A982" s="2">
        <v>1981</v>
      </c>
      <c r="B982" s="7">
        <v>45632</v>
      </c>
      <c r="C982" s="8" t="s">
        <v>73</v>
      </c>
      <c r="D982" s="2" t="s">
        <v>10</v>
      </c>
      <c r="E982" s="2" t="s">
        <v>23</v>
      </c>
      <c r="F982" s="2" t="s">
        <v>40</v>
      </c>
      <c r="G982" s="2" t="s">
        <v>25</v>
      </c>
      <c r="H982" s="2">
        <v>9</v>
      </c>
      <c r="I982" s="4">
        <v>4173</v>
      </c>
      <c r="J982" s="4">
        <v>2743</v>
      </c>
      <c r="K982" s="4">
        <f>Tablo1[[#This Row],[Quantity]]*Tablo1[[#This Row],[Unit_Price]]</f>
        <v>37557</v>
      </c>
      <c r="L982" s="4">
        <f>Tablo1[[#This Row],[Sales]]-(Tablo1[[#This Row],[Quantity]]*Tablo1[[#This Row],[Unit_Cost]])</f>
        <v>12870</v>
      </c>
    </row>
    <row r="983" spans="1:12" x14ac:dyDescent="0.3">
      <c r="A983" s="2">
        <v>1982</v>
      </c>
      <c r="B983" s="7">
        <v>45323</v>
      </c>
      <c r="C983" s="8" t="s">
        <v>75</v>
      </c>
      <c r="D983" s="2" t="s">
        <v>22</v>
      </c>
      <c r="E983" s="2" t="s">
        <v>23</v>
      </c>
      <c r="F983" s="2" t="s">
        <v>42</v>
      </c>
      <c r="G983" s="2" t="s">
        <v>12</v>
      </c>
      <c r="H983" s="2">
        <v>8</v>
      </c>
      <c r="I983" s="4">
        <v>12408</v>
      </c>
      <c r="J983" s="4">
        <v>7835</v>
      </c>
      <c r="K983" s="4">
        <f>Tablo1[[#This Row],[Quantity]]*Tablo1[[#This Row],[Unit_Price]]</f>
        <v>99264</v>
      </c>
      <c r="L983" s="4">
        <f>Tablo1[[#This Row],[Sales]]-(Tablo1[[#This Row],[Quantity]]*Tablo1[[#This Row],[Unit_Cost]])</f>
        <v>36584</v>
      </c>
    </row>
    <row r="984" spans="1:12" x14ac:dyDescent="0.3">
      <c r="A984" s="2">
        <v>1983</v>
      </c>
      <c r="B984" s="7">
        <v>45591</v>
      </c>
      <c r="C984" s="8" t="s">
        <v>74</v>
      </c>
      <c r="D984" s="2" t="s">
        <v>15</v>
      </c>
      <c r="E984" s="2" t="s">
        <v>23</v>
      </c>
      <c r="F984" s="2" t="s">
        <v>50</v>
      </c>
      <c r="G984" s="2" t="s">
        <v>28</v>
      </c>
      <c r="H984" s="2">
        <v>5</v>
      </c>
      <c r="I984" s="4">
        <v>3637</v>
      </c>
      <c r="J984" s="4">
        <v>2233</v>
      </c>
      <c r="K984" s="4">
        <f>Tablo1[[#This Row],[Quantity]]*Tablo1[[#This Row],[Unit_Price]]</f>
        <v>18185</v>
      </c>
      <c r="L984" s="4">
        <f>Tablo1[[#This Row],[Sales]]-(Tablo1[[#This Row],[Quantity]]*Tablo1[[#This Row],[Unit_Cost]])</f>
        <v>7020</v>
      </c>
    </row>
    <row r="985" spans="1:12" x14ac:dyDescent="0.3">
      <c r="A985" s="2">
        <v>1984</v>
      </c>
      <c r="B985" s="7">
        <v>45429</v>
      </c>
      <c r="C985" s="8" t="s">
        <v>76</v>
      </c>
      <c r="D985" s="2" t="s">
        <v>22</v>
      </c>
      <c r="E985" s="2" t="s">
        <v>20</v>
      </c>
      <c r="F985" s="2" t="s">
        <v>33</v>
      </c>
      <c r="G985" s="2" t="s">
        <v>34</v>
      </c>
      <c r="H985" s="2">
        <v>8</v>
      </c>
      <c r="I985" s="4">
        <v>6970</v>
      </c>
      <c r="J985" s="4">
        <v>3619</v>
      </c>
      <c r="K985" s="4">
        <f>Tablo1[[#This Row],[Quantity]]*Tablo1[[#This Row],[Unit_Price]]</f>
        <v>55760</v>
      </c>
      <c r="L985" s="4">
        <f>Tablo1[[#This Row],[Sales]]-(Tablo1[[#This Row],[Quantity]]*Tablo1[[#This Row],[Unit_Cost]])</f>
        <v>26808</v>
      </c>
    </row>
    <row r="986" spans="1:12" x14ac:dyDescent="0.3">
      <c r="A986" s="2">
        <v>1985</v>
      </c>
      <c r="B986" s="7">
        <v>45477</v>
      </c>
      <c r="C986" s="8" t="s">
        <v>75</v>
      </c>
      <c r="D986" s="2" t="s">
        <v>22</v>
      </c>
      <c r="E986" s="2" t="s">
        <v>26</v>
      </c>
      <c r="F986" s="2" t="s">
        <v>16</v>
      </c>
      <c r="G986" s="2" t="s">
        <v>17</v>
      </c>
      <c r="H986" s="2">
        <v>9</v>
      </c>
      <c r="I986" s="4">
        <v>2291</v>
      </c>
      <c r="J986" s="4">
        <v>1585</v>
      </c>
      <c r="K986" s="4">
        <f>Tablo1[[#This Row],[Quantity]]*Tablo1[[#This Row],[Unit_Price]]</f>
        <v>20619</v>
      </c>
      <c r="L986" s="4">
        <f>Tablo1[[#This Row],[Sales]]-(Tablo1[[#This Row],[Quantity]]*Tablo1[[#This Row],[Unit_Cost]])</f>
        <v>6354</v>
      </c>
    </row>
    <row r="987" spans="1:12" x14ac:dyDescent="0.3">
      <c r="A987" s="2">
        <v>1986</v>
      </c>
      <c r="B987" s="7">
        <v>45348</v>
      </c>
      <c r="C987" s="8" t="s">
        <v>73</v>
      </c>
      <c r="D987" s="2" t="s">
        <v>19</v>
      </c>
      <c r="E987" s="2" t="s">
        <v>26</v>
      </c>
      <c r="F987" s="2" t="s">
        <v>33</v>
      </c>
      <c r="G987" s="2" t="s">
        <v>34</v>
      </c>
      <c r="H987" s="2">
        <v>10</v>
      </c>
      <c r="I987" s="4">
        <v>3776</v>
      </c>
      <c r="J987" s="4">
        <v>1918</v>
      </c>
      <c r="K987" s="4">
        <f>Tablo1[[#This Row],[Quantity]]*Tablo1[[#This Row],[Unit_Price]]</f>
        <v>37760</v>
      </c>
      <c r="L987" s="4">
        <f>Tablo1[[#This Row],[Sales]]-(Tablo1[[#This Row],[Quantity]]*Tablo1[[#This Row],[Unit_Cost]])</f>
        <v>18580</v>
      </c>
    </row>
    <row r="988" spans="1:12" x14ac:dyDescent="0.3">
      <c r="A988" s="2">
        <v>1987</v>
      </c>
      <c r="B988" s="7">
        <v>45568</v>
      </c>
      <c r="C988" s="8" t="s">
        <v>76</v>
      </c>
      <c r="D988" s="2" t="s">
        <v>32</v>
      </c>
      <c r="E988" s="2" t="s">
        <v>20</v>
      </c>
      <c r="F988" s="2" t="s">
        <v>14</v>
      </c>
      <c r="G988" s="2" t="s">
        <v>12</v>
      </c>
      <c r="H988" s="2">
        <v>6</v>
      </c>
      <c r="I988" s="4">
        <v>15791</v>
      </c>
      <c r="J988" s="4">
        <v>10826</v>
      </c>
      <c r="K988" s="4">
        <f>Tablo1[[#This Row],[Quantity]]*Tablo1[[#This Row],[Unit_Price]]</f>
        <v>94746</v>
      </c>
      <c r="L988" s="4">
        <f>Tablo1[[#This Row],[Sales]]-(Tablo1[[#This Row],[Quantity]]*Tablo1[[#This Row],[Unit_Cost]])</f>
        <v>29790</v>
      </c>
    </row>
    <row r="989" spans="1:12" x14ac:dyDescent="0.3">
      <c r="A989" s="2">
        <v>1988</v>
      </c>
      <c r="B989" s="7">
        <v>45550</v>
      </c>
      <c r="C989" s="8" t="s">
        <v>74</v>
      </c>
      <c r="D989" s="2" t="s">
        <v>13</v>
      </c>
      <c r="E989" s="2" t="s">
        <v>23</v>
      </c>
      <c r="F989" s="2" t="s">
        <v>29</v>
      </c>
      <c r="G989" s="2" t="s">
        <v>25</v>
      </c>
      <c r="H989" s="2">
        <v>5</v>
      </c>
      <c r="I989" s="4">
        <v>4424</v>
      </c>
      <c r="J989" s="4">
        <v>3157</v>
      </c>
      <c r="K989" s="4">
        <f>Tablo1[[#This Row],[Quantity]]*Tablo1[[#This Row],[Unit_Price]]</f>
        <v>22120</v>
      </c>
      <c r="L989" s="4">
        <f>Tablo1[[#This Row],[Sales]]-(Tablo1[[#This Row],[Quantity]]*Tablo1[[#This Row],[Unit_Cost]])</f>
        <v>6335</v>
      </c>
    </row>
    <row r="990" spans="1:12" x14ac:dyDescent="0.3">
      <c r="A990" s="2">
        <v>1989</v>
      </c>
      <c r="B990" s="7">
        <v>45418</v>
      </c>
      <c r="C990" s="8" t="s">
        <v>77</v>
      </c>
      <c r="D990" s="2" t="s">
        <v>10</v>
      </c>
      <c r="E990" s="2" t="s">
        <v>30</v>
      </c>
      <c r="F990" s="2" t="s">
        <v>14</v>
      </c>
      <c r="G990" s="2" t="s">
        <v>12</v>
      </c>
      <c r="H990" s="2">
        <v>6</v>
      </c>
      <c r="I990" s="4">
        <v>14129</v>
      </c>
      <c r="J990" s="4">
        <v>9691</v>
      </c>
      <c r="K990" s="4">
        <f>Tablo1[[#This Row],[Quantity]]*Tablo1[[#This Row],[Unit_Price]]</f>
        <v>84774</v>
      </c>
      <c r="L990" s="4">
        <f>Tablo1[[#This Row],[Sales]]-(Tablo1[[#This Row],[Quantity]]*Tablo1[[#This Row],[Unit_Cost]])</f>
        <v>26628</v>
      </c>
    </row>
    <row r="991" spans="1:12" x14ac:dyDescent="0.3">
      <c r="A991" s="2">
        <v>1990</v>
      </c>
      <c r="B991" s="7">
        <v>45621</v>
      </c>
      <c r="C991" s="8" t="s">
        <v>75</v>
      </c>
      <c r="D991" s="2" t="s">
        <v>22</v>
      </c>
      <c r="E991" s="2" t="s">
        <v>38</v>
      </c>
      <c r="F991" s="2" t="s">
        <v>45</v>
      </c>
      <c r="G991" s="2" t="s">
        <v>34</v>
      </c>
      <c r="H991" s="2">
        <v>7</v>
      </c>
      <c r="I991" s="4">
        <v>2930</v>
      </c>
      <c r="J991" s="4">
        <v>2249</v>
      </c>
      <c r="K991" s="4">
        <f>Tablo1[[#This Row],[Quantity]]*Tablo1[[#This Row],[Unit_Price]]</f>
        <v>20510</v>
      </c>
      <c r="L991" s="4">
        <f>Tablo1[[#This Row],[Sales]]-(Tablo1[[#This Row],[Quantity]]*Tablo1[[#This Row],[Unit_Cost]])</f>
        <v>4767</v>
      </c>
    </row>
    <row r="992" spans="1:12" x14ac:dyDescent="0.3">
      <c r="A992" s="2">
        <v>1991</v>
      </c>
      <c r="B992" s="7">
        <v>45628</v>
      </c>
      <c r="C992" s="8" t="s">
        <v>76</v>
      </c>
      <c r="D992" s="2" t="s">
        <v>22</v>
      </c>
      <c r="E992" s="2" t="s">
        <v>20</v>
      </c>
      <c r="F992" s="2" t="s">
        <v>39</v>
      </c>
      <c r="G992" s="2" t="s">
        <v>28</v>
      </c>
      <c r="H992" s="2">
        <v>5</v>
      </c>
      <c r="I992" s="4">
        <v>308</v>
      </c>
      <c r="J992" s="4">
        <v>214</v>
      </c>
      <c r="K992" s="4">
        <f>Tablo1[[#This Row],[Quantity]]*Tablo1[[#This Row],[Unit_Price]]</f>
        <v>1540</v>
      </c>
      <c r="L992" s="4">
        <f>Tablo1[[#This Row],[Sales]]-(Tablo1[[#This Row],[Quantity]]*Tablo1[[#This Row],[Unit_Cost]])</f>
        <v>470</v>
      </c>
    </row>
    <row r="993" spans="1:12" x14ac:dyDescent="0.3">
      <c r="A993" s="2">
        <v>1992</v>
      </c>
      <c r="B993" s="7">
        <v>45582</v>
      </c>
      <c r="C993" s="8" t="s">
        <v>75</v>
      </c>
      <c r="D993" s="2" t="s">
        <v>13</v>
      </c>
      <c r="E993" s="2" t="s">
        <v>23</v>
      </c>
      <c r="F993" s="2" t="s">
        <v>42</v>
      </c>
      <c r="G993" s="2" t="s">
        <v>12</v>
      </c>
      <c r="H993" s="2">
        <v>7</v>
      </c>
      <c r="I993" s="4">
        <v>21410</v>
      </c>
      <c r="J993" s="4">
        <v>16600</v>
      </c>
      <c r="K993" s="4">
        <f>Tablo1[[#This Row],[Quantity]]*Tablo1[[#This Row],[Unit_Price]]</f>
        <v>149870</v>
      </c>
      <c r="L993" s="4">
        <f>Tablo1[[#This Row],[Sales]]-(Tablo1[[#This Row],[Quantity]]*Tablo1[[#This Row],[Unit_Cost]])</f>
        <v>33670</v>
      </c>
    </row>
    <row r="994" spans="1:12" x14ac:dyDescent="0.3">
      <c r="A994" s="2">
        <v>1993</v>
      </c>
      <c r="B994" s="7">
        <v>45388</v>
      </c>
      <c r="C994" s="8" t="s">
        <v>74</v>
      </c>
      <c r="D994" s="2" t="s">
        <v>10</v>
      </c>
      <c r="E994" s="2" t="s">
        <v>20</v>
      </c>
      <c r="F994" s="2" t="s">
        <v>14</v>
      </c>
      <c r="G994" s="2" t="s">
        <v>12</v>
      </c>
      <c r="H994" s="2">
        <v>10</v>
      </c>
      <c r="I994" s="4">
        <v>7415</v>
      </c>
      <c r="J994" s="4">
        <v>3865</v>
      </c>
      <c r="K994" s="4">
        <f>Tablo1[[#This Row],[Quantity]]*Tablo1[[#This Row],[Unit_Price]]</f>
        <v>74150</v>
      </c>
      <c r="L994" s="4">
        <f>Tablo1[[#This Row],[Sales]]-(Tablo1[[#This Row],[Quantity]]*Tablo1[[#This Row],[Unit_Cost]])</f>
        <v>35500</v>
      </c>
    </row>
    <row r="995" spans="1:12" x14ac:dyDescent="0.3">
      <c r="A995" s="2">
        <v>1994</v>
      </c>
      <c r="B995" s="7">
        <v>45616</v>
      </c>
      <c r="C995" s="8" t="s">
        <v>73</v>
      </c>
      <c r="D995" s="2" t="s">
        <v>44</v>
      </c>
      <c r="E995" s="2" t="s">
        <v>30</v>
      </c>
      <c r="F995" s="2" t="s">
        <v>24</v>
      </c>
      <c r="G995" s="2" t="s">
        <v>25</v>
      </c>
      <c r="H995" s="2">
        <v>2</v>
      </c>
      <c r="I995" s="4">
        <v>4105</v>
      </c>
      <c r="J995" s="4">
        <v>3183</v>
      </c>
      <c r="K995" s="4">
        <f>Tablo1[[#This Row],[Quantity]]*Tablo1[[#This Row],[Unit_Price]]</f>
        <v>8210</v>
      </c>
      <c r="L995" s="4">
        <f>Tablo1[[#This Row],[Sales]]-(Tablo1[[#This Row],[Quantity]]*Tablo1[[#This Row],[Unit_Cost]])</f>
        <v>1844</v>
      </c>
    </row>
    <row r="996" spans="1:12" x14ac:dyDescent="0.3">
      <c r="A996" s="2">
        <v>1995</v>
      </c>
      <c r="B996" s="7">
        <v>45395</v>
      </c>
      <c r="C996" s="8" t="s">
        <v>73</v>
      </c>
      <c r="D996" s="2" t="s">
        <v>22</v>
      </c>
      <c r="E996" s="2" t="s">
        <v>23</v>
      </c>
      <c r="F996" s="2" t="s">
        <v>36</v>
      </c>
      <c r="G996" s="2" t="s">
        <v>34</v>
      </c>
      <c r="H996" s="2">
        <v>9</v>
      </c>
      <c r="I996" s="4">
        <v>2019</v>
      </c>
      <c r="J996" s="4">
        <v>1339</v>
      </c>
      <c r="K996" s="4">
        <f>Tablo1[[#This Row],[Quantity]]*Tablo1[[#This Row],[Unit_Price]]</f>
        <v>18171</v>
      </c>
      <c r="L996" s="4">
        <f>Tablo1[[#This Row],[Sales]]-(Tablo1[[#This Row],[Quantity]]*Tablo1[[#This Row],[Unit_Cost]])</f>
        <v>6120</v>
      </c>
    </row>
    <row r="997" spans="1:12" x14ac:dyDescent="0.3">
      <c r="A997" s="2">
        <v>1996</v>
      </c>
      <c r="B997" s="7">
        <v>45571</v>
      </c>
      <c r="C997" s="8" t="s">
        <v>75</v>
      </c>
      <c r="D997" s="2" t="s">
        <v>22</v>
      </c>
      <c r="E997" s="2" t="s">
        <v>23</v>
      </c>
      <c r="F997" s="2" t="s">
        <v>49</v>
      </c>
      <c r="G997" s="2" t="s">
        <v>12</v>
      </c>
      <c r="H997" s="2">
        <v>2</v>
      </c>
      <c r="I997" s="4">
        <v>19628</v>
      </c>
      <c r="J997" s="4">
        <v>11803</v>
      </c>
      <c r="K997" s="4">
        <f>Tablo1[[#This Row],[Quantity]]*Tablo1[[#This Row],[Unit_Price]]</f>
        <v>39256</v>
      </c>
      <c r="L997" s="4">
        <f>Tablo1[[#This Row],[Sales]]-(Tablo1[[#This Row],[Quantity]]*Tablo1[[#This Row],[Unit_Cost]])</f>
        <v>15650</v>
      </c>
    </row>
    <row r="998" spans="1:12" x14ac:dyDescent="0.3">
      <c r="A998" s="2">
        <v>1997</v>
      </c>
      <c r="B998" s="7">
        <v>45628</v>
      </c>
      <c r="C998" s="8" t="s">
        <v>74</v>
      </c>
      <c r="D998" s="2" t="s">
        <v>13</v>
      </c>
      <c r="E998" s="2" t="s">
        <v>38</v>
      </c>
      <c r="F998" s="2" t="s">
        <v>33</v>
      </c>
      <c r="G998" s="2" t="s">
        <v>34</v>
      </c>
      <c r="H998" s="2">
        <v>10</v>
      </c>
      <c r="I998" s="4">
        <v>1054</v>
      </c>
      <c r="J998" s="4">
        <v>823</v>
      </c>
      <c r="K998" s="4">
        <f>Tablo1[[#This Row],[Quantity]]*Tablo1[[#This Row],[Unit_Price]]</f>
        <v>10540</v>
      </c>
      <c r="L998" s="4">
        <f>Tablo1[[#This Row],[Sales]]-(Tablo1[[#This Row],[Quantity]]*Tablo1[[#This Row],[Unit_Cost]])</f>
        <v>2310</v>
      </c>
    </row>
    <row r="999" spans="1:12" x14ac:dyDescent="0.3">
      <c r="A999" s="2">
        <v>1998</v>
      </c>
      <c r="B999" s="7">
        <v>45577</v>
      </c>
      <c r="C999" s="8" t="s">
        <v>76</v>
      </c>
      <c r="D999" s="2" t="s">
        <v>32</v>
      </c>
      <c r="E999" s="2" t="s">
        <v>30</v>
      </c>
      <c r="F999" s="2" t="s">
        <v>47</v>
      </c>
      <c r="G999" s="2" t="s">
        <v>25</v>
      </c>
      <c r="H999" s="2">
        <v>5</v>
      </c>
      <c r="I999" s="4">
        <v>6922</v>
      </c>
      <c r="J999" s="4">
        <v>3554</v>
      </c>
      <c r="K999" s="4">
        <f>Tablo1[[#This Row],[Quantity]]*Tablo1[[#This Row],[Unit_Price]]</f>
        <v>34610</v>
      </c>
      <c r="L999" s="4">
        <f>Tablo1[[#This Row],[Sales]]-(Tablo1[[#This Row],[Quantity]]*Tablo1[[#This Row],[Unit_Cost]])</f>
        <v>16840</v>
      </c>
    </row>
    <row r="1000" spans="1:12" x14ac:dyDescent="0.3">
      <c r="A1000" s="2">
        <v>1999</v>
      </c>
      <c r="B1000" s="7">
        <v>45444</v>
      </c>
      <c r="C1000" s="8" t="s">
        <v>75</v>
      </c>
      <c r="D1000" s="2" t="s">
        <v>32</v>
      </c>
      <c r="E1000" s="2" t="s">
        <v>30</v>
      </c>
      <c r="F1000" s="2" t="s">
        <v>14</v>
      </c>
      <c r="G1000" s="2" t="s">
        <v>12</v>
      </c>
      <c r="H1000" s="2">
        <v>2</v>
      </c>
      <c r="I1000" s="4">
        <v>5143</v>
      </c>
      <c r="J1000" s="4">
        <v>2687</v>
      </c>
      <c r="K1000" s="4">
        <f>Tablo1[[#This Row],[Quantity]]*Tablo1[[#This Row],[Unit_Price]]</f>
        <v>10286</v>
      </c>
      <c r="L1000" s="4">
        <f>Tablo1[[#This Row],[Sales]]-(Tablo1[[#This Row],[Quantity]]*Tablo1[[#This Row],[Unit_Cost]])</f>
        <v>4912</v>
      </c>
    </row>
    <row r="1001" spans="1:12" x14ac:dyDescent="0.3">
      <c r="A1001" s="2">
        <v>2000</v>
      </c>
      <c r="B1001" s="7">
        <v>45502</v>
      </c>
      <c r="C1001" s="8" t="s">
        <v>73</v>
      </c>
      <c r="D1001" s="2" t="s">
        <v>43</v>
      </c>
      <c r="E1001" s="2" t="s">
        <v>26</v>
      </c>
      <c r="F1001" s="2" t="s">
        <v>45</v>
      </c>
      <c r="G1001" s="2" t="s">
        <v>34</v>
      </c>
      <c r="H1001" s="2">
        <v>7</v>
      </c>
      <c r="I1001" s="4">
        <v>4876</v>
      </c>
      <c r="J1001" s="4">
        <v>2708</v>
      </c>
      <c r="K1001" s="4">
        <f>Tablo1[[#This Row],[Quantity]]*Tablo1[[#This Row],[Unit_Price]]</f>
        <v>34132</v>
      </c>
      <c r="L1001" s="4">
        <f>Tablo1[[#This Row],[Sales]]-(Tablo1[[#This Row],[Quantity]]*Tablo1[[#This Row],[Unit_Cost]])</f>
        <v>15176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797D-1114-49FB-B2D8-281BB69DD5E0}">
  <sheetPr codeName="Sheet2"/>
  <dimension ref="A5:B11"/>
  <sheetViews>
    <sheetView showGridLines="0" workbookViewId="0">
      <selection activeCell="A11" sqref="A11"/>
    </sheetView>
  </sheetViews>
  <sheetFormatPr defaultRowHeight="14.4" x14ac:dyDescent="0.3"/>
  <cols>
    <col min="1" max="1" width="15.33203125" bestFit="1" customWidth="1"/>
    <col min="2" max="2" width="12.109375" bestFit="1" customWidth="1"/>
    <col min="3" max="3" width="13.88671875" bestFit="1" customWidth="1"/>
    <col min="4" max="342" width="10.109375" bestFit="1" customWidth="1"/>
    <col min="343" max="343" width="12.44140625" bestFit="1" customWidth="1"/>
  </cols>
  <sheetData>
    <row r="5" spans="1:2" x14ac:dyDescent="0.3">
      <c r="A5" s="5" t="s">
        <v>51</v>
      </c>
      <c r="B5" t="s">
        <v>53</v>
      </c>
    </row>
    <row r="6" spans="1:2" x14ac:dyDescent="0.3">
      <c r="A6" s="6" t="s">
        <v>28</v>
      </c>
      <c r="B6" s="3">
        <v>2420532</v>
      </c>
    </row>
    <row r="7" spans="1:2" x14ac:dyDescent="0.3">
      <c r="A7" s="6" t="s">
        <v>17</v>
      </c>
      <c r="B7" s="3">
        <v>6317756</v>
      </c>
    </row>
    <row r="8" spans="1:2" x14ac:dyDescent="0.3">
      <c r="A8" s="6" t="s">
        <v>25</v>
      </c>
      <c r="B8" s="3">
        <v>5040058</v>
      </c>
    </row>
    <row r="9" spans="1:2" x14ac:dyDescent="0.3">
      <c r="A9" s="6" t="s">
        <v>34</v>
      </c>
      <c r="B9" s="3">
        <v>3986740</v>
      </c>
    </row>
    <row r="10" spans="1:2" x14ac:dyDescent="0.3">
      <c r="A10" s="6" t="s">
        <v>12</v>
      </c>
      <c r="B10" s="3">
        <v>18166797</v>
      </c>
    </row>
    <row r="11" spans="1:2" x14ac:dyDescent="0.3">
      <c r="A11" s="6" t="s">
        <v>52</v>
      </c>
      <c r="B11" s="3">
        <v>35931883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1EE95-ACF5-4B2C-B974-6F68BC324AEE}">
  <sheetPr codeName="Sheet3"/>
  <dimension ref="A2:B29"/>
  <sheetViews>
    <sheetView showGridLines="0" workbookViewId="0">
      <selection activeCell="A6" sqref="A6"/>
    </sheetView>
  </sheetViews>
  <sheetFormatPr defaultRowHeight="14.4" x14ac:dyDescent="0.3"/>
  <cols>
    <col min="1" max="1" width="15.33203125" bestFit="1" customWidth="1"/>
    <col min="2" max="2" width="14.44140625" customWidth="1"/>
    <col min="3" max="3" width="19.21875" bestFit="1" customWidth="1"/>
  </cols>
  <sheetData>
    <row r="2" spans="1:2" x14ac:dyDescent="0.3">
      <c r="A2" s="5" t="s">
        <v>51</v>
      </c>
      <c r="B2" t="s">
        <v>78</v>
      </c>
    </row>
    <row r="3" spans="1:2" x14ac:dyDescent="0.3">
      <c r="A3" s="6" t="s">
        <v>60</v>
      </c>
      <c r="B3" s="3">
        <v>1132530</v>
      </c>
    </row>
    <row r="4" spans="1:2" x14ac:dyDescent="0.3">
      <c r="A4" s="6" t="s">
        <v>61</v>
      </c>
      <c r="B4" s="3">
        <v>982860</v>
      </c>
    </row>
    <row r="5" spans="1:2" x14ac:dyDescent="0.3">
      <c r="A5" s="6" t="s">
        <v>62</v>
      </c>
      <c r="B5" s="3">
        <v>1044133</v>
      </c>
    </row>
    <row r="6" spans="1:2" x14ac:dyDescent="0.3">
      <c r="A6" s="6" t="s">
        <v>63</v>
      </c>
      <c r="B6" s="3">
        <v>1214308</v>
      </c>
    </row>
    <row r="7" spans="1:2" x14ac:dyDescent="0.3">
      <c r="A7" s="6" t="s">
        <v>64</v>
      </c>
      <c r="B7" s="3">
        <v>1081472</v>
      </c>
    </row>
    <row r="8" spans="1:2" x14ac:dyDescent="0.3">
      <c r="A8" s="6" t="s">
        <v>65</v>
      </c>
      <c r="B8" s="3">
        <v>915803</v>
      </c>
    </row>
    <row r="9" spans="1:2" x14ac:dyDescent="0.3">
      <c r="A9" s="6" t="s">
        <v>66</v>
      </c>
      <c r="B9" s="3">
        <v>888328</v>
      </c>
    </row>
    <row r="10" spans="1:2" x14ac:dyDescent="0.3">
      <c r="A10" s="6" t="s">
        <v>67</v>
      </c>
      <c r="B10" s="3">
        <v>1146607</v>
      </c>
    </row>
    <row r="11" spans="1:2" x14ac:dyDescent="0.3">
      <c r="A11" s="6" t="s">
        <v>68</v>
      </c>
      <c r="B11" s="3">
        <v>625531</v>
      </c>
    </row>
    <row r="12" spans="1:2" x14ac:dyDescent="0.3">
      <c r="A12" s="6" t="s">
        <v>69</v>
      </c>
      <c r="B12" s="3">
        <v>1194844</v>
      </c>
    </row>
    <row r="13" spans="1:2" x14ac:dyDescent="0.3">
      <c r="A13" s="6" t="s">
        <v>70</v>
      </c>
      <c r="B13" s="3">
        <v>1061038</v>
      </c>
    </row>
    <row r="14" spans="1:2" x14ac:dyDescent="0.3">
      <c r="A14" s="6" t="s">
        <v>71</v>
      </c>
      <c r="B14" s="3">
        <v>1053397</v>
      </c>
    </row>
    <row r="15" spans="1:2" x14ac:dyDescent="0.3">
      <c r="A15" s="6" t="s">
        <v>52</v>
      </c>
      <c r="B15" s="3">
        <v>12340851</v>
      </c>
    </row>
    <row r="17" spans="1:2" x14ac:dyDescent="0.3">
      <c r="A17" s="6" t="s">
        <v>82</v>
      </c>
      <c r="B17" s="3" t="s">
        <v>83</v>
      </c>
    </row>
    <row r="18" spans="1:2" x14ac:dyDescent="0.3">
      <c r="A18" s="6" t="s">
        <v>60</v>
      </c>
      <c r="B18" s="3">
        <f>AVERAGE($B$3:$B$14)</f>
        <v>1028404.25</v>
      </c>
    </row>
    <row r="19" spans="1:2" x14ac:dyDescent="0.3">
      <c r="A19" s="6" t="s">
        <v>61</v>
      </c>
      <c r="B19" s="3">
        <f t="shared" ref="B19:B29" si="0">AVERAGE($B$3:$B$14)</f>
        <v>1028404.25</v>
      </c>
    </row>
    <row r="20" spans="1:2" x14ac:dyDescent="0.3">
      <c r="A20" s="6" t="s">
        <v>62</v>
      </c>
      <c r="B20" s="3">
        <f t="shared" si="0"/>
        <v>1028404.25</v>
      </c>
    </row>
    <row r="21" spans="1:2" x14ac:dyDescent="0.3">
      <c r="A21" s="6" t="s">
        <v>63</v>
      </c>
      <c r="B21" s="3">
        <f t="shared" si="0"/>
        <v>1028404.25</v>
      </c>
    </row>
    <row r="22" spans="1:2" x14ac:dyDescent="0.3">
      <c r="A22" s="6" t="s">
        <v>64</v>
      </c>
      <c r="B22" s="3">
        <f t="shared" si="0"/>
        <v>1028404.25</v>
      </c>
    </row>
    <row r="23" spans="1:2" x14ac:dyDescent="0.3">
      <c r="A23" s="6" t="s">
        <v>65</v>
      </c>
      <c r="B23" s="3">
        <f t="shared" si="0"/>
        <v>1028404.25</v>
      </c>
    </row>
    <row r="24" spans="1:2" x14ac:dyDescent="0.3">
      <c r="A24" s="6" t="s">
        <v>66</v>
      </c>
      <c r="B24" s="3">
        <f t="shared" si="0"/>
        <v>1028404.25</v>
      </c>
    </row>
    <row r="25" spans="1:2" x14ac:dyDescent="0.3">
      <c r="A25" s="6" t="s">
        <v>67</v>
      </c>
      <c r="B25" s="3">
        <f t="shared" si="0"/>
        <v>1028404.25</v>
      </c>
    </row>
    <row r="26" spans="1:2" x14ac:dyDescent="0.3">
      <c r="A26" s="6" t="s">
        <v>68</v>
      </c>
      <c r="B26" s="3">
        <f t="shared" si="0"/>
        <v>1028404.25</v>
      </c>
    </row>
    <row r="27" spans="1:2" x14ac:dyDescent="0.3">
      <c r="A27" s="6" t="s">
        <v>69</v>
      </c>
      <c r="B27" s="3">
        <f t="shared" si="0"/>
        <v>1028404.25</v>
      </c>
    </row>
    <row r="28" spans="1:2" x14ac:dyDescent="0.3">
      <c r="A28" s="6" t="s">
        <v>70</v>
      </c>
      <c r="B28" s="3">
        <f t="shared" si="0"/>
        <v>1028404.25</v>
      </c>
    </row>
    <row r="29" spans="1:2" x14ac:dyDescent="0.3">
      <c r="A29" s="6" t="s">
        <v>71</v>
      </c>
      <c r="B29" s="3">
        <f t="shared" si="0"/>
        <v>1028404.25</v>
      </c>
    </row>
  </sheetData>
  <phoneticPr fontId="8" type="noConversion"/>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C81AB-68B2-4285-B59B-E1A3F816393E}">
  <sheetPr codeName="Sheet4"/>
  <dimension ref="A6:B12"/>
  <sheetViews>
    <sheetView showGridLines="0" workbookViewId="0">
      <selection activeCell="G26" sqref="G26"/>
    </sheetView>
  </sheetViews>
  <sheetFormatPr defaultRowHeight="14.4" x14ac:dyDescent="0.3"/>
  <cols>
    <col min="1" max="1" width="15.33203125" bestFit="1" customWidth="1"/>
    <col min="2" max="2" width="12.109375" bestFit="1" customWidth="1"/>
  </cols>
  <sheetData>
    <row r="6" spans="1:2" x14ac:dyDescent="0.3">
      <c r="A6" s="5" t="s">
        <v>51</v>
      </c>
      <c r="B6" t="s">
        <v>53</v>
      </c>
    </row>
    <row r="7" spans="1:2" x14ac:dyDescent="0.3">
      <c r="A7" s="6" t="s">
        <v>26</v>
      </c>
      <c r="B7" s="3">
        <v>6471247</v>
      </c>
    </row>
    <row r="8" spans="1:2" x14ac:dyDescent="0.3">
      <c r="A8" s="6" t="s">
        <v>20</v>
      </c>
      <c r="B8" s="3">
        <v>6959144</v>
      </c>
    </row>
    <row r="9" spans="1:2" x14ac:dyDescent="0.3">
      <c r="A9" s="6" t="s">
        <v>23</v>
      </c>
      <c r="B9" s="3">
        <v>7030019</v>
      </c>
    </row>
    <row r="10" spans="1:2" x14ac:dyDescent="0.3">
      <c r="A10" s="6" t="s">
        <v>30</v>
      </c>
      <c r="B10" s="3">
        <v>7626448</v>
      </c>
    </row>
    <row r="11" spans="1:2" x14ac:dyDescent="0.3">
      <c r="A11" s="6" t="s">
        <v>38</v>
      </c>
      <c r="B11" s="3">
        <v>7845025</v>
      </c>
    </row>
    <row r="12" spans="1:2" x14ac:dyDescent="0.3">
      <c r="A12" s="6" t="s">
        <v>52</v>
      </c>
      <c r="B12" s="3">
        <v>35931883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50064-868E-4193-A01B-4EE9542F4715}">
  <sheetPr codeName="Sheet5"/>
  <dimension ref="A5:B9"/>
  <sheetViews>
    <sheetView showGridLines="0" workbookViewId="0">
      <selection activeCell="K21" sqref="K21"/>
    </sheetView>
  </sheetViews>
  <sheetFormatPr defaultRowHeight="14.4" x14ac:dyDescent="0.3"/>
  <cols>
    <col min="1" max="1" width="15.33203125" bestFit="1" customWidth="1"/>
    <col min="2" max="2" width="12.109375" bestFit="1" customWidth="1"/>
  </cols>
  <sheetData>
    <row r="5" spans="1:2" x14ac:dyDescent="0.3">
      <c r="A5" s="5" t="s">
        <v>51</v>
      </c>
      <c r="B5" t="s">
        <v>78</v>
      </c>
    </row>
    <row r="6" spans="1:2" x14ac:dyDescent="0.3">
      <c r="A6" s="6" t="s">
        <v>11</v>
      </c>
      <c r="B6" s="3">
        <v>1680448</v>
      </c>
    </row>
    <row r="7" spans="1:2" x14ac:dyDescent="0.3">
      <c r="A7" s="6" t="s">
        <v>42</v>
      </c>
      <c r="B7" s="3">
        <v>1590681</v>
      </c>
    </row>
    <row r="8" spans="1:2" x14ac:dyDescent="0.3">
      <c r="A8" s="6" t="s">
        <v>14</v>
      </c>
      <c r="B8" s="3">
        <v>1526602</v>
      </c>
    </row>
    <row r="9" spans="1:2" x14ac:dyDescent="0.3">
      <c r="A9" s="6" t="s">
        <v>52</v>
      </c>
      <c r="B9" s="3">
        <v>4797731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Raw_Data</vt:lpstr>
      <vt:lpstr>Category Pivot</vt:lpstr>
      <vt:lpstr>Monthly Profit Pivot</vt:lpstr>
      <vt:lpstr>Region Pivot</vt:lpstr>
      <vt:lpstr>Top 3 Profit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İrem DOST</dc:creator>
  <cp:lastModifiedBy>İrem Dost</cp:lastModifiedBy>
  <dcterms:created xsi:type="dcterms:W3CDTF">2026-02-11T18:50:34Z</dcterms:created>
  <dcterms:modified xsi:type="dcterms:W3CDTF">2026-02-14T19:20:05Z</dcterms:modified>
</cp:coreProperties>
</file>